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82109\Desktop\"/>
    </mc:Choice>
  </mc:AlternateContent>
  <xr:revisionPtr revIDLastSave="0" documentId="13_ncr:1_{8E4B5802-41F9-4555-8164-A3AADD86F8E3}" xr6:coauthVersionLast="47" xr6:coauthVersionMax="47" xr10:uidLastSave="{00000000-0000-0000-0000-000000000000}"/>
  <bookViews>
    <workbookView xWindow="-120" yWindow="-120" windowWidth="29040" windowHeight="15720" xr2:uid="{008D67D7-B171-4E54-8824-AB0F5EE23547}"/>
  </bookViews>
  <sheets>
    <sheet name="Sheet1" sheetId="1" r:id="rId1"/>
    <sheet name="Sheet2" sheetId="2" r:id="rId2"/>
  </sheets>
  <definedNames>
    <definedName name="_xlnm._FilterDatabase" localSheetId="0" hidden="1">Sheet1!$A$1:$G$1646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646" i="1" l="1"/>
  <c r="E1645" i="1"/>
  <c r="E1644" i="1"/>
  <c r="E1643" i="1"/>
  <c r="E1642" i="1"/>
  <c r="E1641" i="1"/>
  <c r="E1640" i="1"/>
  <c r="E1639" i="1"/>
  <c r="E1637" i="1"/>
  <c r="E1636" i="1"/>
  <c r="E1635" i="1"/>
  <c r="E1634" i="1"/>
  <c r="E1632" i="1"/>
  <c r="E1631" i="1"/>
  <c r="E1630" i="1"/>
  <c r="E1629" i="1"/>
  <c r="E1627" i="1"/>
  <c r="E1624" i="1"/>
  <c r="E1623" i="1"/>
  <c r="E1620" i="1"/>
  <c r="E1619" i="1"/>
  <c r="E1618" i="1"/>
  <c r="E1616" i="1"/>
  <c r="E1615" i="1"/>
  <c r="E1613" i="1"/>
  <c r="E1612" i="1"/>
  <c r="E1611" i="1"/>
  <c r="E1608" i="1"/>
  <c r="E1607" i="1"/>
  <c r="E1606" i="1"/>
  <c r="E1605" i="1"/>
  <c r="E1604" i="1"/>
  <c r="E1603" i="1"/>
  <c r="E1602" i="1"/>
  <c r="E1601" i="1"/>
  <c r="E1600" i="1"/>
  <c r="E1599" i="1"/>
  <c r="E1598" i="1"/>
  <c r="E1597" i="1"/>
  <c r="E1596" i="1"/>
  <c r="E1592" i="1"/>
  <c r="E1590" i="1"/>
  <c r="E1584" i="1"/>
  <c r="E1583" i="1"/>
  <c r="E1582" i="1"/>
  <c r="E1581" i="1"/>
  <c r="E1579" i="1"/>
  <c r="E1578" i="1"/>
  <c r="E1572" i="1"/>
  <c r="E1571" i="1"/>
  <c r="E1570" i="1"/>
  <c r="E1569" i="1"/>
  <c r="E1566" i="1"/>
  <c r="E1565" i="1"/>
  <c r="E1564" i="1"/>
  <c r="E1563" i="1"/>
  <c r="E1562" i="1"/>
  <c r="E1561" i="1"/>
  <c r="E1560" i="1"/>
  <c r="E1559" i="1"/>
  <c r="E1558" i="1"/>
  <c r="E1555" i="1"/>
  <c r="E1554" i="1"/>
  <c r="E1553" i="1"/>
  <c r="E1552" i="1"/>
  <c r="E1551" i="1"/>
  <c r="E1548" i="1"/>
  <c r="E1547" i="1"/>
  <c r="E1546" i="1"/>
  <c r="E1545" i="1"/>
  <c r="E1544" i="1"/>
  <c r="E1539" i="1"/>
  <c r="E1538" i="1"/>
  <c r="E1537" i="1"/>
  <c r="E1536" i="1"/>
  <c r="E1535" i="1"/>
  <c r="E1533" i="1"/>
  <c r="E1529" i="1"/>
  <c r="E1528" i="1"/>
  <c r="E1527" i="1"/>
  <c r="E1526" i="1"/>
  <c r="E1525" i="1"/>
  <c r="E1522" i="1"/>
  <c r="E1521" i="1"/>
  <c r="E1520" i="1"/>
  <c r="E1519" i="1"/>
  <c r="E1518" i="1"/>
  <c r="E1514" i="1"/>
  <c r="E1512" i="1"/>
  <c r="E1511" i="1"/>
  <c r="E1510" i="1"/>
  <c r="E1509" i="1"/>
  <c r="E1508" i="1"/>
  <c r="E1507" i="1"/>
  <c r="E1506" i="1"/>
  <c r="E1505" i="1"/>
  <c r="E1504" i="1"/>
  <c r="E1503" i="1"/>
  <c r="E1502" i="1"/>
  <c r="E1501" i="1"/>
  <c r="E1500" i="1"/>
  <c r="E1495" i="1"/>
  <c r="E1494" i="1"/>
  <c r="E1493" i="1"/>
  <c r="E1492" i="1"/>
  <c r="E1488" i="1"/>
  <c r="E1487" i="1"/>
  <c r="E1486" i="1"/>
  <c r="E1485" i="1"/>
  <c r="E1484" i="1"/>
  <c r="E1482" i="1"/>
  <c r="E1481" i="1"/>
  <c r="E1480" i="1"/>
  <c r="E1479" i="1"/>
  <c r="E1477" i="1"/>
  <c r="E1476" i="1"/>
  <c r="E1472" i="1"/>
  <c r="E1471" i="1"/>
  <c r="E1466" i="1"/>
  <c r="E1465" i="1"/>
  <c r="E1464" i="1"/>
  <c r="E1463" i="1"/>
  <c r="E1461" i="1"/>
  <c r="E1460" i="1"/>
  <c r="E1459" i="1"/>
  <c r="E1456" i="1"/>
  <c r="E1455" i="1"/>
  <c r="E1454" i="1"/>
  <c r="E1453" i="1"/>
  <c r="E1452" i="1"/>
  <c r="E1451" i="1"/>
  <c r="E1450" i="1"/>
  <c r="E1444" i="1"/>
  <c r="E1443" i="1"/>
  <c r="E1442" i="1"/>
  <c r="E1441" i="1"/>
  <c r="E1438" i="1"/>
  <c r="E1437" i="1"/>
  <c r="E1436" i="1"/>
  <c r="E1433" i="1"/>
  <c r="E1432" i="1"/>
  <c r="E1431" i="1"/>
  <c r="E1430" i="1"/>
  <c r="F1646" i="1"/>
  <c r="G1646" i="1" s="1"/>
  <c r="F1645" i="1"/>
  <c r="G1645" i="1" s="1"/>
  <c r="F1644" i="1"/>
  <c r="G1644" i="1" s="1"/>
  <c r="F1643" i="1"/>
  <c r="F1642" i="1"/>
  <c r="F1641" i="1"/>
  <c r="G1641" i="1" l="1"/>
  <c r="G1643" i="1"/>
  <c r="G1642" i="1"/>
  <c r="C117" i="2" l="1"/>
  <c r="C116" i="2"/>
  <c r="C115" i="2"/>
  <c r="C114" i="2"/>
  <c r="C113" i="2"/>
  <c r="C112" i="2"/>
  <c r="C108" i="2"/>
  <c r="C107" i="2"/>
  <c r="C106" i="2"/>
  <c r="C105" i="2"/>
  <c r="C104" i="2"/>
  <c r="C103" i="2"/>
  <c r="C102" i="2"/>
  <c r="C101" i="2"/>
  <c r="C100" i="2"/>
  <c r="C99" i="2"/>
  <c r="C98" i="2"/>
  <c r="C97" i="2"/>
  <c r="C96" i="2"/>
  <c r="C95" i="2"/>
  <c r="C94" i="2"/>
  <c r="C93" i="2"/>
  <c r="C92" i="2"/>
  <c r="C91" i="2"/>
  <c r="C90" i="2"/>
  <c r="C89" i="2"/>
  <c r="C88" i="2"/>
  <c r="C87" i="2"/>
  <c r="C86" i="2"/>
  <c r="C85" i="2"/>
  <c r="C84" i="2"/>
  <c r="C83" i="2"/>
  <c r="C82" i="2"/>
  <c r="C81" i="2"/>
  <c r="C80" i="2"/>
  <c r="C79" i="2"/>
  <c r="C78" i="2"/>
  <c r="C77" i="2"/>
  <c r="C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E986" i="1" l="1"/>
  <c r="E955" i="1"/>
  <c r="E954" i="1"/>
  <c r="E948" i="1"/>
  <c r="F1640" i="1" l="1"/>
  <c r="F1639" i="1"/>
  <c r="F1638" i="1"/>
  <c r="F1637" i="1"/>
  <c r="F1636" i="1"/>
  <c r="F1635" i="1"/>
  <c r="F1634" i="1"/>
  <c r="F1633" i="1"/>
  <c r="F1632" i="1"/>
  <c r="F1631" i="1"/>
  <c r="F1630" i="1"/>
  <c r="F1629" i="1"/>
  <c r="F1628" i="1"/>
  <c r="F1627" i="1"/>
  <c r="F1626" i="1"/>
  <c r="F1625" i="1"/>
  <c r="F1624" i="1"/>
  <c r="F1623" i="1"/>
  <c r="F1622" i="1"/>
  <c r="F1621" i="1"/>
  <c r="F1620" i="1"/>
  <c r="F1619" i="1"/>
  <c r="F1618" i="1"/>
  <c r="F1617" i="1"/>
  <c r="F1616" i="1"/>
  <c r="F1615" i="1"/>
  <c r="F1614" i="1"/>
  <c r="F1613" i="1"/>
  <c r="F1612" i="1"/>
  <c r="F1611" i="1"/>
  <c r="F1610" i="1"/>
  <c r="F1609" i="1"/>
  <c r="F1608" i="1"/>
  <c r="F1607" i="1"/>
  <c r="F1606" i="1"/>
  <c r="F1605" i="1"/>
  <c r="F1604" i="1"/>
  <c r="F1603" i="1"/>
  <c r="F1602" i="1"/>
  <c r="F1601" i="1"/>
  <c r="F1600" i="1"/>
  <c r="F1599" i="1"/>
  <c r="F1598" i="1"/>
  <c r="F1597" i="1"/>
  <c r="F1596" i="1"/>
  <c r="F1595" i="1"/>
  <c r="F1594" i="1"/>
  <c r="F1593" i="1"/>
  <c r="F1592" i="1"/>
  <c r="F1591" i="1"/>
  <c r="F1590" i="1"/>
  <c r="F1589" i="1"/>
  <c r="F1588" i="1"/>
  <c r="F1587" i="1"/>
  <c r="F1586" i="1"/>
  <c r="F1585" i="1"/>
  <c r="F1584" i="1"/>
  <c r="F1583" i="1"/>
  <c r="F1582" i="1"/>
  <c r="F1581" i="1"/>
  <c r="F1580" i="1"/>
  <c r="F1579" i="1"/>
  <c r="F1578" i="1"/>
  <c r="F1577" i="1"/>
  <c r="F1576" i="1"/>
  <c r="F1575" i="1"/>
  <c r="F1574" i="1"/>
  <c r="F1573" i="1"/>
  <c r="F1572" i="1"/>
  <c r="F1571" i="1"/>
  <c r="F1570" i="1"/>
  <c r="F1569" i="1"/>
  <c r="F1568" i="1"/>
  <c r="F1567" i="1"/>
  <c r="F1566" i="1"/>
  <c r="F1565" i="1"/>
  <c r="F1564" i="1"/>
  <c r="F1563" i="1"/>
  <c r="F1562" i="1"/>
  <c r="F1561" i="1"/>
  <c r="F1560" i="1"/>
  <c r="F1559" i="1"/>
  <c r="F1558" i="1"/>
  <c r="F1557" i="1"/>
  <c r="F1556" i="1"/>
  <c r="F1555" i="1"/>
  <c r="F1554" i="1"/>
  <c r="F1553" i="1"/>
  <c r="F1552" i="1"/>
  <c r="F1551" i="1"/>
  <c r="F1550" i="1"/>
  <c r="F1549" i="1"/>
  <c r="F1548" i="1"/>
  <c r="F1547" i="1"/>
  <c r="F1546" i="1"/>
  <c r="F1545" i="1"/>
  <c r="F1544" i="1"/>
  <c r="F1543" i="1"/>
  <c r="F1542" i="1"/>
  <c r="F1541" i="1"/>
  <c r="F1540" i="1"/>
  <c r="F1539" i="1"/>
  <c r="F1538" i="1"/>
  <c r="F1537" i="1"/>
  <c r="F1536" i="1"/>
  <c r="F1535" i="1"/>
  <c r="F1534" i="1"/>
  <c r="F1533" i="1"/>
  <c r="F1532" i="1"/>
  <c r="F1531" i="1"/>
  <c r="F1530" i="1"/>
  <c r="F1529" i="1"/>
  <c r="F1528" i="1"/>
  <c r="F1527" i="1"/>
  <c r="F1526" i="1"/>
  <c r="F1525" i="1"/>
  <c r="F1524" i="1"/>
  <c r="F1523" i="1"/>
  <c r="F1522" i="1"/>
  <c r="F1521" i="1"/>
  <c r="F1520" i="1"/>
  <c r="F1519" i="1"/>
  <c r="F1518" i="1"/>
  <c r="F1517" i="1"/>
  <c r="F1516" i="1"/>
  <c r="F1515" i="1"/>
  <c r="F1514" i="1"/>
  <c r="F1513" i="1"/>
  <c r="F1512" i="1"/>
  <c r="F1511" i="1"/>
  <c r="F1510" i="1"/>
  <c r="F1509" i="1"/>
  <c r="F1508" i="1"/>
  <c r="F1507" i="1"/>
  <c r="F1506" i="1"/>
  <c r="F1505" i="1"/>
  <c r="F1504" i="1"/>
  <c r="F1503" i="1"/>
  <c r="F1502" i="1"/>
  <c r="F1501" i="1"/>
  <c r="F1500" i="1"/>
  <c r="F1499" i="1"/>
  <c r="F1498" i="1"/>
  <c r="F1497" i="1"/>
  <c r="F1496" i="1"/>
  <c r="F1495" i="1"/>
  <c r="F1494" i="1"/>
  <c r="F1493" i="1"/>
  <c r="F1492" i="1"/>
  <c r="F1491" i="1"/>
  <c r="F1490" i="1"/>
  <c r="F1489" i="1"/>
  <c r="F1488" i="1"/>
  <c r="F1487" i="1"/>
  <c r="F1486" i="1"/>
  <c r="F1485" i="1"/>
  <c r="F1484" i="1"/>
  <c r="F1483" i="1"/>
  <c r="F1482" i="1"/>
  <c r="F1481" i="1"/>
  <c r="F1480" i="1"/>
  <c r="F1479" i="1"/>
  <c r="F1478" i="1"/>
  <c r="F1477" i="1"/>
  <c r="F1476" i="1"/>
  <c r="F1475" i="1"/>
  <c r="F1474" i="1"/>
  <c r="F1473" i="1"/>
  <c r="F1472" i="1"/>
  <c r="F1471" i="1"/>
  <c r="F1470" i="1"/>
  <c r="F1469" i="1"/>
  <c r="F1468" i="1"/>
  <c r="F1467" i="1"/>
  <c r="F1466" i="1"/>
  <c r="F1465" i="1"/>
  <c r="F1464" i="1"/>
  <c r="F1463" i="1"/>
  <c r="F1462" i="1"/>
  <c r="F1461" i="1"/>
  <c r="F1460" i="1"/>
  <c r="F1459" i="1"/>
  <c r="F1458" i="1"/>
  <c r="F1457" i="1"/>
  <c r="F1456" i="1"/>
  <c r="F1455" i="1"/>
  <c r="F1454" i="1"/>
  <c r="F1453" i="1"/>
  <c r="F1452" i="1"/>
  <c r="F1451" i="1"/>
  <c r="F1450" i="1"/>
  <c r="F1449" i="1"/>
  <c r="F1448" i="1"/>
  <c r="F1447" i="1"/>
  <c r="F1446" i="1"/>
  <c r="F1445" i="1"/>
  <c r="F1444" i="1"/>
  <c r="F1443" i="1"/>
  <c r="F1442" i="1"/>
  <c r="F1441" i="1"/>
  <c r="F1440" i="1"/>
  <c r="F1439" i="1"/>
  <c r="F1438" i="1"/>
  <c r="F1437" i="1"/>
  <c r="F1436" i="1"/>
  <c r="F1435" i="1"/>
  <c r="F1434" i="1"/>
  <c r="F1433" i="1"/>
  <c r="F1432" i="1"/>
  <c r="F1431" i="1"/>
  <c r="F1430" i="1"/>
  <c r="F1429" i="1"/>
  <c r="F1427" i="1"/>
  <c r="F1423" i="1"/>
  <c r="G1423" i="1" s="1"/>
  <c r="F1413" i="1"/>
  <c r="G1413" i="1" s="1"/>
  <c r="F1412" i="1"/>
  <c r="G1412" i="1" s="1"/>
  <c r="F1409" i="1"/>
  <c r="G1409" i="1" s="1"/>
  <c r="F1405" i="1"/>
  <c r="G1405" i="1" s="1"/>
  <c r="F1402" i="1"/>
  <c r="G1402" i="1" s="1"/>
  <c r="F1398" i="1"/>
  <c r="G1398" i="1" s="1"/>
  <c r="F1397" i="1"/>
  <c r="G1397" i="1" s="1"/>
  <c r="F1394" i="1"/>
  <c r="G1394" i="1" s="1"/>
  <c r="F1392" i="1"/>
  <c r="G1392" i="1" s="1"/>
  <c r="F1384" i="1"/>
  <c r="G1384" i="1" s="1"/>
  <c r="F1383" i="1"/>
  <c r="G1383" i="1" s="1"/>
  <c r="F1379" i="1"/>
  <c r="G1379" i="1" s="1"/>
  <c r="F1378" i="1"/>
  <c r="G1378" i="1" s="1"/>
  <c r="F1367" i="1"/>
  <c r="G1367" i="1" s="1"/>
  <c r="F1364" i="1"/>
  <c r="G1364" i="1" s="1"/>
  <c r="F1354" i="1"/>
  <c r="G1354" i="1" s="1"/>
  <c r="F1351" i="1"/>
  <c r="G1351" i="1" s="1"/>
  <c r="F1349" i="1"/>
  <c r="G1349" i="1" s="1"/>
  <c r="F1344" i="1"/>
  <c r="G1344" i="1" s="1"/>
  <c r="F1338" i="1"/>
  <c r="G1338" i="1" s="1"/>
  <c r="F1336" i="1"/>
  <c r="G1336" i="1" s="1"/>
  <c r="F1335" i="1"/>
  <c r="G1335" i="1" s="1"/>
  <c r="F1334" i="1"/>
  <c r="G1334" i="1" s="1"/>
  <c r="F1331" i="1"/>
  <c r="G1331" i="1" s="1"/>
  <c r="F1328" i="1"/>
  <c r="G1328" i="1" s="1"/>
  <c r="F1324" i="1"/>
  <c r="G1324" i="1" s="1"/>
  <c r="F1315" i="1"/>
  <c r="G1315" i="1" s="1"/>
  <c r="F1312" i="1"/>
  <c r="G1312" i="1" s="1"/>
  <c r="F1311" i="1"/>
  <c r="G1311" i="1" s="1"/>
  <c r="F1308" i="1"/>
  <c r="G1308" i="1" s="1"/>
  <c r="F1306" i="1"/>
  <c r="G1306" i="1" s="1"/>
  <c r="F1299" i="1"/>
  <c r="G1299" i="1" s="1"/>
  <c r="F1298" i="1"/>
  <c r="G1298" i="1" s="1"/>
  <c r="F1291" i="1"/>
  <c r="G1291" i="1" s="1"/>
  <c r="F1289" i="1"/>
  <c r="G1289" i="1" s="1"/>
  <c r="F1287" i="1"/>
  <c r="G1287" i="1" s="1"/>
  <c r="F1282" i="1"/>
  <c r="G1282" i="1" s="1"/>
  <c r="F1280" i="1"/>
  <c r="G1280" i="1" s="1"/>
  <c r="F1277" i="1"/>
  <c r="G1277" i="1" s="1"/>
  <c r="F1274" i="1"/>
  <c r="G1274" i="1" s="1"/>
  <c r="F1273" i="1"/>
  <c r="G1273" i="1" s="1"/>
  <c r="F1271" i="1"/>
  <c r="G1271" i="1" s="1"/>
  <c r="F1267" i="1"/>
  <c r="G1267" i="1" s="1"/>
  <c r="F1263" i="1"/>
  <c r="G1263" i="1" s="1"/>
  <c r="F1256" i="1"/>
  <c r="G1256" i="1" s="1"/>
  <c r="F1252" i="1"/>
  <c r="G1252" i="1" s="1"/>
  <c r="F1251" i="1"/>
  <c r="G1251" i="1" s="1"/>
  <c r="F1248" i="1"/>
  <c r="G1248" i="1" s="1"/>
  <c r="F1241" i="1"/>
  <c r="G1241" i="1" s="1"/>
  <c r="F1240" i="1"/>
  <c r="G1240" i="1" s="1"/>
  <c r="F1237" i="1"/>
  <c r="G1237" i="1" s="1"/>
  <c r="F1236" i="1"/>
  <c r="G1236" i="1" s="1"/>
  <c r="F1229" i="1"/>
  <c r="G1229" i="1" s="1"/>
  <c r="F1228" i="1"/>
  <c r="G1228" i="1" s="1"/>
  <c r="F1227" i="1"/>
  <c r="G1227" i="1" s="1"/>
  <c r="F1225" i="1"/>
  <c r="G1225" i="1" s="1"/>
  <c r="F1220" i="1"/>
  <c r="G1220" i="1" s="1"/>
  <c r="F1219" i="1"/>
  <c r="G1219" i="1" s="1"/>
  <c r="F1215" i="1"/>
  <c r="G1215" i="1" s="1"/>
  <c r="F1212" i="1"/>
  <c r="G1212" i="1" s="1"/>
  <c r="F1210" i="1"/>
  <c r="G1210" i="1" s="1"/>
  <c r="F1207" i="1"/>
  <c r="G1207" i="1" s="1"/>
  <c r="F1204" i="1"/>
  <c r="G1204" i="1" s="1"/>
  <c r="F1203" i="1"/>
  <c r="G1203" i="1" s="1"/>
  <c r="F1201" i="1"/>
  <c r="G1201" i="1" s="1"/>
  <c r="F1197" i="1"/>
  <c r="G1197" i="1" s="1"/>
  <c r="F1193" i="1"/>
  <c r="G1193" i="1" s="1"/>
  <c r="F1191" i="1"/>
  <c r="G1191" i="1" s="1"/>
  <c r="F1183" i="1"/>
  <c r="G1183" i="1" s="1"/>
  <c r="F1182" i="1"/>
  <c r="G1182" i="1" s="1"/>
  <c r="F1181" i="1"/>
  <c r="G1181" i="1" s="1"/>
  <c r="F1180" i="1"/>
  <c r="G1180" i="1" s="1"/>
  <c r="F1179" i="1"/>
  <c r="G1179" i="1" s="1"/>
  <c r="F1177" i="1"/>
  <c r="G1177" i="1" s="1"/>
  <c r="F1168" i="1"/>
  <c r="G1168" i="1" s="1"/>
  <c r="F1167" i="1"/>
  <c r="G1167" i="1" s="1"/>
  <c r="F1166" i="1"/>
  <c r="G1166" i="1" s="1"/>
  <c r="F1165" i="1"/>
  <c r="G1165" i="1" s="1"/>
  <c r="F1164" i="1"/>
  <c r="G1164" i="1" s="1"/>
  <c r="F1160" i="1"/>
  <c r="G1160" i="1" s="1"/>
  <c r="F1156" i="1"/>
  <c r="G1156" i="1" s="1"/>
  <c r="F1154" i="1"/>
  <c r="G1154" i="1" s="1"/>
  <c r="F1152" i="1"/>
  <c r="G1152" i="1" s="1"/>
  <c r="F1149" i="1"/>
  <c r="G1149" i="1" s="1"/>
  <c r="F1148" i="1"/>
  <c r="G1148" i="1" s="1"/>
  <c r="F1147" i="1"/>
  <c r="G1147" i="1" s="1"/>
  <c r="F1143" i="1"/>
  <c r="G1143" i="1" s="1"/>
  <c r="F1140" i="1"/>
  <c r="G1140" i="1" s="1"/>
  <c r="F1134" i="1"/>
  <c r="G1134" i="1" s="1"/>
  <c r="F1133" i="1"/>
  <c r="G1133" i="1" s="1"/>
  <c r="F1132" i="1"/>
  <c r="G1132" i="1" s="1"/>
  <c r="F1131" i="1"/>
  <c r="G1131" i="1" s="1"/>
  <c r="F1129" i="1"/>
  <c r="G1129" i="1" s="1"/>
  <c r="F1128" i="1"/>
  <c r="G1128" i="1" s="1"/>
  <c r="F1121" i="1"/>
  <c r="G1121" i="1" s="1"/>
  <c r="F1119" i="1"/>
  <c r="G1119" i="1" s="1"/>
  <c r="F1118" i="1"/>
  <c r="G1118" i="1" s="1"/>
  <c r="F1117" i="1"/>
  <c r="G1117" i="1" s="1"/>
  <c r="F1116" i="1"/>
  <c r="G1116" i="1" s="1"/>
  <c r="F1114" i="1"/>
  <c r="G1114" i="1" s="1"/>
  <c r="F1112" i="1"/>
  <c r="G1112" i="1" s="1"/>
  <c r="F1108" i="1"/>
  <c r="G1108" i="1" s="1"/>
  <c r="F1106" i="1"/>
  <c r="G1106" i="1" s="1"/>
  <c r="F1105" i="1"/>
  <c r="G1105" i="1" s="1"/>
  <c r="F1104" i="1"/>
  <c r="G1104" i="1" s="1"/>
  <c r="F1103" i="1"/>
  <c r="G1103" i="1" s="1"/>
  <c r="F1099" i="1"/>
  <c r="G1099" i="1" s="1"/>
  <c r="F1096" i="1"/>
  <c r="G1096" i="1" s="1"/>
  <c r="F1095" i="1"/>
  <c r="G1095" i="1" s="1"/>
  <c r="F1093" i="1"/>
  <c r="G1093" i="1" s="1"/>
  <c r="F1088" i="1"/>
  <c r="G1088" i="1" s="1"/>
  <c r="F1087" i="1"/>
  <c r="G1087" i="1" s="1"/>
  <c r="F1084" i="1"/>
  <c r="G1084" i="1" s="1"/>
  <c r="F1083" i="1"/>
  <c r="G1083" i="1" s="1"/>
  <c r="F1078" i="1"/>
  <c r="G1078" i="1" s="1"/>
  <c r="F1077" i="1"/>
  <c r="G1077" i="1" s="1"/>
  <c r="F1076" i="1"/>
  <c r="G1076" i="1" s="1"/>
  <c r="F1075" i="1"/>
  <c r="G1075" i="1" s="1"/>
  <c r="F1071" i="1"/>
  <c r="G1071" i="1" s="1"/>
  <c r="F1068" i="1"/>
  <c r="G1068" i="1" s="1"/>
  <c r="F1064" i="1"/>
  <c r="G1064" i="1" s="1"/>
  <c r="F1061" i="1"/>
  <c r="G1061" i="1" s="1"/>
  <c r="F1060" i="1"/>
  <c r="G1060" i="1" s="1"/>
  <c r="F1059" i="1"/>
  <c r="G1059" i="1" s="1"/>
  <c r="F1056" i="1"/>
  <c r="G1056" i="1" s="1"/>
  <c r="F1052" i="1"/>
  <c r="G1052" i="1" s="1"/>
  <c r="F1051" i="1"/>
  <c r="G1051" i="1" s="1"/>
  <c r="F1049" i="1"/>
  <c r="G1049" i="1" s="1"/>
  <c r="F1048" i="1"/>
  <c r="G1048" i="1" s="1"/>
  <c r="F1042" i="1"/>
  <c r="G1042" i="1" s="1"/>
  <c r="F1041" i="1"/>
  <c r="G1041" i="1" s="1"/>
  <c r="F1039" i="1"/>
  <c r="G1039" i="1" s="1"/>
  <c r="F1035" i="1"/>
  <c r="G1035" i="1" s="1"/>
  <c r="F1030" i="1"/>
  <c r="G1030" i="1" s="1"/>
  <c r="F1028" i="1"/>
  <c r="G1028" i="1" s="1"/>
  <c r="F1027" i="1"/>
  <c r="G1027" i="1" s="1"/>
  <c r="F1024" i="1"/>
  <c r="G1024" i="1" s="1"/>
  <c r="F1023" i="1"/>
  <c r="G1023" i="1" s="1"/>
  <c r="F1015" i="1"/>
  <c r="G1015" i="1" s="1"/>
  <c r="F1012" i="1"/>
  <c r="G1012" i="1" s="1"/>
  <c r="F1011" i="1"/>
  <c r="G1011" i="1" s="1"/>
  <c r="F1009" i="1"/>
  <c r="G1009" i="1" s="1"/>
  <c r="F1003" i="1"/>
  <c r="G1003" i="1" s="1"/>
  <c r="F1001" i="1"/>
  <c r="G1001" i="1" s="1"/>
  <c r="F1000" i="1"/>
  <c r="G1000" i="1" s="1"/>
  <c r="F999" i="1"/>
  <c r="G999" i="1" s="1"/>
  <c r="F997" i="1"/>
  <c r="G997" i="1" s="1"/>
  <c r="F996" i="1"/>
  <c r="G996" i="1" s="1"/>
  <c r="F992" i="1"/>
  <c r="G992" i="1" s="1"/>
  <c r="F991" i="1"/>
  <c r="G991" i="1" s="1"/>
  <c r="F988" i="1"/>
  <c r="G988" i="1" s="1"/>
  <c r="F987" i="1"/>
  <c r="G987" i="1" s="1"/>
  <c r="F984" i="1"/>
  <c r="G984" i="1" s="1"/>
  <c r="F980" i="1"/>
  <c r="G980" i="1" s="1"/>
  <c r="F979" i="1"/>
  <c r="G979" i="1" s="1"/>
  <c r="F977" i="1"/>
  <c r="G977" i="1" s="1"/>
  <c r="F976" i="1"/>
  <c r="G976" i="1" s="1"/>
  <c r="F975" i="1"/>
  <c r="G975" i="1" s="1"/>
  <c r="F967" i="1"/>
  <c r="G967" i="1" s="1"/>
  <c r="F963" i="1"/>
  <c r="G963" i="1" s="1"/>
  <c r="F962" i="1"/>
  <c r="G962" i="1" s="1"/>
  <c r="F960" i="1"/>
  <c r="G960" i="1" s="1"/>
  <c r="F958" i="1"/>
  <c r="G958" i="1" s="1"/>
  <c r="F955" i="1"/>
  <c r="G955" i="1" s="1"/>
  <c r="F954" i="1"/>
  <c r="G954" i="1" s="1"/>
  <c r="F952" i="1"/>
  <c r="G952" i="1" s="1"/>
  <c r="F951" i="1"/>
  <c r="G951" i="1" s="1"/>
  <c r="F948" i="1"/>
  <c r="G948" i="1" s="1"/>
  <c r="F946" i="1"/>
  <c r="G946" i="1" s="1"/>
  <c r="F944" i="1"/>
  <c r="G944" i="1" s="1"/>
  <c r="F940" i="1"/>
  <c r="G940" i="1" s="1"/>
  <c r="F939" i="1"/>
  <c r="G939" i="1" s="1"/>
  <c r="F937" i="1"/>
  <c r="G937" i="1" s="1"/>
  <c r="F931" i="1"/>
  <c r="G931" i="1" s="1"/>
  <c r="F930" i="1"/>
  <c r="G930" i="1" s="1"/>
  <c r="F928" i="1"/>
  <c r="G928" i="1" s="1"/>
  <c r="F927" i="1"/>
  <c r="G927" i="1" s="1"/>
  <c r="F924" i="1"/>
  <c r="G924" i="1" s="1"/>
  <c r="F922" i="1"/>
  <c r="G922" i="1" s="1"/>
  <c r="F921" i="1"/>
  <c r="G921" i="1" s="1"/>
  <c r="F917" i="1"/>
  <c r="G917" i="1" s="1"/>
  <c r="F916" i="1"/>
  <c r="G916" i="1" s="1"/>
  <c r="F915" i="1"/>
  <c r="G915" i="1" s="1"/>
  <c r="F909" i="1"/>
  <c r="G909" i="1" s="1"/>
  <c r="F905" i="1"/>
  <c r="G905" i="1" s="1"/>
  <c r="F904" i="1"/>
  <c r="G904" i="1" s="1"/>
  <c r="F903" i="1"/>
  <c r="G903" i="1" s="1"/>
  <c r="F901" i="1"/>
  <c r="G901" i="1" s="1"/>
  <c r="F900" i="1"/>
  <c r="G900" i="1" s="1"/>
  <c r="F897" i="1"/>
  <c r="G897" i="1" s="1"/>
  <c r="F896" i="1"/>
  <c r="G896" i="1" s="1"/>
  <c r="F893" i="1"/>
  <c r="G893" i="1" s="1"/>
  <c r="F892" i="1"/>
  <c r="G892" i="1" s="1"/>
  <c r="F891" i="1"/>
  <c r="G891" i="1" s="1"/>
  <c r="F889" i="1"/>
  <c r="G889" i="1" s="1"/>
  <c r="F886" i="1"/>
  <c r="G886" i="1" s="1"/>
  <c r="F884" i="1"/>
  <c r="G884" i="1" s="1"/>
  <c r="F883" i="1"/>
  <c r="G883" i="1" s="1"/>
  <c r="F881" i="1"/>
  <c r="G881" i="1" s="1"/>
  <c r="F880" i="1"/>
  <c r="G880" i="1" s="1"/>
  <c r="F879" i="1"/>
  <c r="G879" i="1" s="1"/>
  <c r="F876" i="1"/>
  <c r="G876" i="1" s="1"/>
  <c r="F872" i="1"/>
  <c r="G872" i="1" s="1"/>
  <c r="F870" i="1"/>
  <c r="G870" i="1" s="1"/>
  <c r="F869" i="1"/>
  <c r="G869" i="1" s="1"/>
  <c r="F867" i="1"/>
  <c r="G867" i="1" s="1"/>
  <c r="F863" i="1"/>
  <c r="G863" i="1" s="1"/>
  <c r="F862" i="1"/>
  <c r="G862" i="1" s="1"/>
  <c r="F860" i="1"/>
  <c r="G860" i="1" s="1"/>
  <c r="F859" i="1"/>
  <c r="G859" i="1" s="1"/>
  <c r="F858" i="1"/>
  <c r="G858" i="1" s="1"/>
  <c r="F857" i="1"/>
  <c r="G857" i="1" s="1"/>
  <c r="F856" i="1"/>
  <c r="G856" i="1" s="1"/>
  <c r="F855" i="1"/>
  <c r="G855" i="1" s="1"/>
  <c r="F852" i="1"/>
  <c r="G852" i="1" s="1"/>
  <c r="F845" i="1"/>
  <c r="G845" i="1" s="1"/>
  <c r="F844" i="1"/>
  <c r="G844" i="1" s="1"/>
  <c r="F843" i="1"/>
  <c r="G843" i="1" s="1"/>
  <c r="F841" i="1"/>
  <c r="G841" i="1" s="1"/>
  <c r="F840" i="1"/>
  <c r="G840" i="1" s="1"/>
  <c r="F836" i="1"/>
  <c r="G836" i="1" s="1"/>
  <c r="F835" i="1"/>
  <c r="G835" i="1" s="1"/>
  <c r="F834" i="1"/>
  <c r="G834" i="1" s="1"/>
  <c r="F832" i="1"/>
  <c r="G832" i="1" s="1"/>
  <c r="F831" i="1"/>
  <c r="G831" i="1" s="1"/>
  <c r="F825" i="1"/>
  <c r="G825" i="1" s="1"/>
  <c r="F824" i="1"/>
  <c r="G824" i="1" s="1"/>
  <c r="F823" i="1"/>
  <c r="G823" i="1" s="1"/>
  <c r="F822" i="1"/>
  <c r="G822" i="1" s="1"/>
  <c r="F819" i="1"/>
  <c r="G819" i="1" s="1"/>
  <c r="F817" i="1"/>
  <c r="G817" i="1" s="1"/>
  <c r="F814" i="1"/>
  <c r="G814" i="1" s="1"/>
  <c r="F813" i="1"/>
  <c r="G813" i="1" s="1"/>
  <c r="F811" i="1"/>
  <c r="G811" i="1" s="1"/>
  <c r="F809" i="1"/>
  <c r="G809" i="1" s="1"/>
  <c r="F808" i="1"/>
  <c r="G808" i="1" s="1"/>
  <c r="F807" i="1"/>
  <c r="G807" i="1" s="1"/>
  <c r="F804" i="1"/>
  <c r="G804" i="1" s="1"/>
  <c r="F803" i="1"/>
  <c r="G803" i="1" s="1"/>
  <c r="F802" i="1"/>
  <c r="G802" i="1" s="1"/>
  <c r="F801" i="1"/>
  <c r="G801" i="1" s="1"/>
  <c r="F800" i="1"/>
  <c r="G800" i="1" s="1"/>
  <c r="F799" i="1"/>
  <c r="G799" i="1" s="1"/>
  <c r="F797" i="1"/>
  <c r="G797" i="1" s="1"/>
  <c r="F796" i="1"/>
  <c r="G796" i="1" s="1"/>
  <c r="F795" i="1"/>
  <c r="G795" i="1" s="1"/>
  <c r="F793" i="1"/>
  <c r="G793" i="1" s="1"/>
  <c r="F791" i="1"/>
  <c r="G791" i="1" s="1"/>
  <c r="F790" i="1"/>
  <c r="G790" i="1" s="1"/>
  <c r="F787" i="1"/>
  <c r="G787" i="1" s="1"/>
  <c r="F786" i="1"/>
  <c r="G786" i="1" s="1"/>
  <c r="F784" i="1"/>
  <c r="G784" i="1" s="1"/>
  <c r="F783" i="1"/>
  <c r="G783" i="1" s="1"/>
  <c r="F782" i="1"/>
  <c r="G782" i="1" s="1"/>
  <c r="F781" i="1"/>
  <c r="G781" i="1" s="1"/>
  <c r="F780" i="1"/>
  <c r="G780" i="1" s="1"/>
  <c r="F776" i="1"/>
  <c r="G776" i="1" s="1"/>
  <c r="F775" i="1"/>
  <c r="G775" i="1" s="1"/>
  <c r="F774" i="1"/>
  <c r="G774" i="1" s="1"/>
  <c r="F772" i="1"/>
  <c r="G772" i="1" s="1"/>
  <c r="F771" i="1"/>
  <c r="G771" i="1" s="1"/>
  <c r="F770" i="1"/>
  <c r="G770" i="1" s="1"/>
  <c r="F769" i="1"/>
  <c r="G769" i="1" s="1"/>
  <c r="F768" i="1"/>
  <c r="G768" i="1" s="1"/>
  <c r="F766" i="1"/>
  <c r="G766" i="1" s="1"/>
  <c r="F765" i="1"/>
  <c r="G765" i="1" s="1"/>
  <c r="F764" i="1"/>
  <c r="G764" i="1" s="1"/>
  <c r="F763" i="1"/>
  <c r="G763" i="1" s="1"/>
  <c r="F760" i="1"/>
  <c r="G760" i="1" s="1"/>
  <c r="F759" i="1"/>
  <c r="G759" i="1" s="1"/>
  <c r="F757" i="1"/>
  <c r="G757" i="1" s="1"/>
  <c r="F756" i="1"/>
  <c r="G756" i="1" s="1"/>
  <c r="F752" i="1"/>
  <c r="G752" i="1" s="1"/>
  <c r="F751" i="1"/>
  <c r="G751" i="1" s="1"/>
  <c r="F750" i="1"/>
  <c r="G750" i="1" s="1"/>
  <c r="F749" i="1"/>
  <c r="G749" i="1" s="1"/>
  <c r="F748" i="1"/>
  <c r="G748" i="1" s="1"/>
  <c r="F747" i="1"/>
  <c r="G747" i="1" s="1"/>
  <c r="F745" i="1"/>
  <c r="G745" i="1" s="1"/>
  <c r="F744" i="1"/>
  <c r="G744" i="1" s="1"/>
  <c r="F743" i="1"/>
  <c r="G743" i="1" s="1"/>
  <c r="F742" i="1"/>
  <c r="G742" i="1" s="1"/>
  <c r="F739" i="1"/>
  <c r="G739" i="1" s="1"/>
  <c r="F738" i="1"/>
  <c r="G738" i="1" s="1"/>
  <c r="F737" i="1"/>
  <c r="G737" i="1" s="1"/>
  <c r="F735" i="1"/>
  <c r="G735" i="1" s="1"/>
  <c r="F734" i="1"/>
  <c r="G734" i="1" s="1"/>
  <c r="F733" i="1"/>
  <c r="G733" i="1" s="1"/>
  <c r="F732" i="1"/>
  <c r="G732" i="1" s="1"/>
  <c r="F730" i="1"/>
  <c r="G730" i="1" s="1"/>
  <c r="F728" i="1"/>
  <c r="G728" i="1" s="1"/>
  <c r="F727" i="1"/>
  <c r="G727" i="1" s="1"/>
  <c r="F725" i="1"/>
  <c r="G725" i="1" s="1"/>
  <c r="F724" i="1"/>
  <c r="G724" i="1" s="1"/>
  <c r="F723" i="1"/>
  <c r="G723" i="1" s="1"/>
  <c r="F720" i="1"/>
  <c r="G720" i="1" s="1"/>
  <c r="F719" i="1"/>
  <c r="G719" i="1" s="1"/>
  <c r="F718" i="1"/>
  <c r="G718" i="1" s="1"/>
  <c r="F716" i="1"/>
  <c r="G716" i="1" s="1"/>
  <c r="F715" i="1"/>
  <c r="G715" i="1" s="1"/>
  <c r="F714" i="1"/>
  <c r="G714" i="1" s="1"/>
  <c r="F713" i="1"/>
  <c r="G713" i="1" s="1"/>
  <c r="F712" i="1"/>
  <c r="G712" i="1" s="1"/>
  <c r="F711" i="1"/>
  <c r="G711" i="1" s="1"/>
  <c r="F708" i="1"/>
  <c r="G708" i="1" s="1"/>
  <c r="F700" i="1"/>
  <c r="G700" i="1" s="1"/>
  <c r="F699" i="1"/>
  <c r="G699" i="1" s="1"/>
  <c r="F696" i="1"/>
  <c r="G696" i="1" s="1"/>
  <c r="F695" i="1"/>
  <c r="G695" i="1" s="1"/>
  <c r="F691" i="1"/>
  <c r="G691" i="1" s="1"/>
  <c r="F690" i="1"/>
  <c r="G690" i="1" s="1"/>
  <c r="F689" i="1"/>
  <c r="G689" i="1" s="1"/>
  <c r="F688" i="1"/>
  <c r="G688" i="1" s="1"/>
  <c r="F687" i="1"/>
  <c r="G687" i="1" s="1"/>
  <c r="F686" i="1"/>
  <c r="G686" i="1" s="1"/>
  <c r="F685" i="1"/>
  <c r="G685" i="1" s="1"/>
  <c r="F684" i="1"/>
  <c r="G684" i="1" s="1"/>
  <c r="F680" i="1"/>
  <c r="G680" i="1" s="1"/>
  <c r="F679" i="1"/>
  <c r="G679" i="1" s="1"/>
  <c r="F677" i="1"/>
  <c r="G677" i="1" s="1"/>
  <c r="F676" i="1"/>
  <c r="G676" i="1" s="1"/>
  <c r="F675" i="1"/>
  <c r="G675" i="1" s="1"/>
  <c r="F673" i="1"/>
  <c r="G673" i="1" s="1"/>
  <c r="F672" i="1"/>
  <c r="G672" i="1" s="1"/>
  <c r="F667" i="1"/>
  <c r="G667" i="1" s="1"/>
  <c r="F666" i="1"/>
  <c r="G666" i="1" s="1"/>
  <c r="F1018" i="1"/>
  <c r="G1018" i="1" s="1"/>
  <c r="F1157" i="1"/>
  <c r="G1157" i="1" s="1"/>
  <c r="F1288" i="1"/>
  <c r="G1288" i="1" s="1"/>
  <c r="F1357" i="1"/>
  <c r="G1357" i="1" s="1"/>
  <c r="F1305" i="1"/>
  <c r="G1305" i="1" s="1"/>
  <c r="F1034" i="1"/>
  <c r="G1034" i="1" s="1"/>
  <c r="F1150" i="1"/>
  <c r="G1150" i="1" s="1"/>
  <c r="F1072" i="1"/>
  <c r="G1072" i="1" s="1"/>
  <c r="F1325" i="1"/>
  <c r="G1325" i="1" s="1"/>
  <c r="F1090" i="1"/>
  <c r="G1090" i="1" s="1"/>
  <c r="F1109" i="1"/>
  <c r="G1109" i="1" s="1"/>
  <c r="F1110" i="1"/>
  <c r="G1110" i="1" s="1"/>
  <c r="F1069" i="1"/>
  <c r="G1069" i="1" s="1"/>
  <c r="F1292" i="1"/>
  <c r="G1292" i="1" s="1"/>
  <c r="F1395" i="1"/>
  <c r="G1395" i="1" s="1"/>
  <c r="F1189" i="1"/>
  <c r="G1189" i="1" s="1"/>
  <c r="F798" i="1"/>
  <c r="G798" i="1" s="1"/>
  <c r="F1290" i="1"/>
  <c r="G1290" i="1" s="1"/>
  <c r="F1170" i="1"/>
  <c r="G1170" i="1" s="1"/>
  <c r="F1004" i="1"/>
  <c r="G1004" i="1" s="1"/>
  <c r="F1206" i="1"/>
  <c r="G1206" i="1" s="1"/>
  <c r="F965" i="1"/>
  <c r="G965" i="1" s="1"/>
  <c r="F1286" i="1"/>
  <c r="G1286" i="1" s="1"/>
  <c r="F1171" i="1"/>
  <c r="G1171" i="1" s="1"/>
  <c r="F1388" i="1"/>
  <c r="G1388" i="1" s="1"/>
  <c r="F1158" i="1"/>
  <c r="G1158" i="1" s="1"/>
  <c r="F1085" i="1"/>
  <c r="G1085" i="1" s="1"/>
  <c r="F1190" i="1"/>
  <c r="G1190" i="1" s="1"/>
  <c r="F1200" i="1"/>
  <c r="G1200" i="1" s="1"/>
  <c r="F1337" i="1"/>
  <c r="G1337" i="1" s="1"/>
  <c r="F947" i="1"/>
  <c r="G947" i="1" s="1"/>
  <c r="F1123" i="1"/>
  <c r="G1123" i="1" s="1"/>
  <c r="F959" i="1"/>
  <c r="G959" i="1" s="1"/>
  <c r="F1218" i="1"/>
  <c r="G1218" i="1" s="1"/>
  <c r="F942" i="1"/>
  <c r="G942" i="1" s="1"/>
  <c r="F1400" i="1"/>
  <c r="G1400" i="1" s="1"/>
  <c r="F1316" i="1"/>
  <c r="G1316" i="1" s="1"/>
  <c r="F1346" i="1"/>
  <c r="G1346" i="1" s="1"/>
  <c r="F1352" i="1"/>
  <c r="G1352" i="1" s="1"/>
  <c r="F1345" i="1"/>
  <c r="G1345" i="1" s="1"/>
  <c r="F1062" i="1"/>
  <c r="G1062" i="1" s="1"/>
  <c r="F1340" i="1"/>
  <c r="G1340" i="1" s="1"/>
  <c r="F678" i="1"/>
  <c r="G678" i="1" s="1"/>
  <c r="F1141" i="1"/>
  <c r="G1141" i="1" s="1"/>
  <c r="F1387" i="1"/>
  <c r="G1387" i="1" s="1"/>
  <c r="F1038" i="1"/>
  <c r="G1038" i="1" s="1"/>
  <c r="F1362" i="1"/>
  <c r="G1362" i="1" s="1"/>
  <c r="F1172" i="1"/>
  <c r="G1172" i="1" s="1"/>
  <c r="F1124" i="1"/>
  <c r="G1124" i="1" s="1"/>
  <c r="F1376" i="1"/>
  <c r="G1376" i="1" s="1"/>
  <c r="F1310" i="1"/>
  <c r="G1310" i="1" s="1"/>
  <c r="F1242" i="1"/>
  <c r="G1242" i="1" s="1"/>
  <c r="F1374" i="1"/>
  <c r="G1374" i="1" s="1"/>
  <c r="F971" i="1"/>
  <c r="G971" i="1" s="1"/>
  <c r="F1422" i="1"/>
  <c r="G1422" i="1" s="1"/>
  <c r="F1268" i="1"/>
  <c r="G1268" i="1" s="1"/>
  <c r="F911" i="1"/>
  <c r="G911" i="1" s="1"/>
  <c r="F1272" i="1"/>
  <c r="G1272" i="1" s="1"/>
  <c r="F1070" i="1"/>
  <c r="G1070" i="1" s="1"/>
  <c r="F1050" i="1"/>
  <c r="G1050" i="1" s="1"/>
  <c r="F1244" i="1"/>
  <c r="G1244" i="1" s="1"/>
  <c r="F1100" i="1"/>
  <c r="G1100" i="1" s="1"/>
  <c r="F1322" i="1"/>
  <c r="G1322" i="1" s="1"/>
  <c r="F777" i="1"/>
  <c r="G777" i="1" s="1"/>
  <c r="F1424" i="1"/>
  <c r="F1111" i="1" l="1"/>
  <c r="G1111" i="1" s="1"/>
  <c r="F1255" i="1"/>
  <c r="G1255" i="1" s="1"/>
  <c r="F1279" i="1"/>
  <c r="G1279" i="1" s="1"/>
  <c r="F668" i="1"/>
  <c r="G668" i="1" s="1"/>
  <c r="F692" i="1"/>
  <c r="G692" i="1" s="1"/>
  <c r="F848" i="1"/>
  <c r="G848" i="1" s="1"/>
  <c r="F920" i="1"/>
  <c r="G920" i="1" s="1"/>
  <c r="F968" i="1"/>
  <c r="G968" i="1" s="1"/>
  <c r="F1016" i="1"/>
  <c r="G1016" i="1" s="1"/>
  <c r="F1136" i="1"/>
  <c r="G1136" i="1" s="1"/>
  <c r="F1184" i="1"/>
  <c r="G1184" i="1" s="1"/>
  <c r="F1208" i="1"/>
  <c r="G1208" i="1" s="1"/>
  <c r="F1232" i="1"/>
  <c r="G1232" i="1" s="1"/>
  <c r="F1304" i="1"/>
  <c r="G1304" i="1" s="1"/>
  <c r="F669" i="1"/>
  <c r="G669" i="1" s="1"/>
  <c r="F681" i="1"/>
  <c r="G681" i="1" s="1"/>
  <c r="F693" i="1"/>
  <c r="G693" i="1" s="1"/>
  <c r="F705" i="1"/>
  <c r="G705" i="1" s="1"/>
  <c r="F717" i="1"/>
  <c r="G717" i="1" s="1"/>
  <c r="F729" i="1"/>
  <c r="G729" i="1" s="1"/>
  <c r="F741" i="1"/>
  <c r="G741" i="1" s="1"/>
  <c r="F753" i="1"/>
  <c r="G753" i="1" s="1"/>
  <c r="F789" i="1"/>
  <c r="G789" i="1" s="1"/>
  <c r="F837" i="1"/>
  <c r="G837" i="1" s="1"/>
  <c r="F849" i="1"/>
  <c r="G849" i="1" s="1"/>
  <c r="F861" i="1"/>
  <c r="G861" i="1" s="1"/>
  <c r="F873" i="1"/>
  <c r="G873" i="1" s="1"/>
  <c r="F885" i="1"/>
  <c r="G885" i="1" s="1"/>
  <c r="F933" i="1"/>
  <c r="G933" i="1" s="1"/>
  <c r="F945" i="1"/>
  <c r="G945" i="1" s="1"/>
  <c r="F957" i="1"/>
  <c r="G957" i="1" s="1"/>
  <c r="F969" i="1"/>
  <c r="G969" i="1" s="1"/>
  <c r="F981" i="1"/>
  <c r="G981" i="1" s="1"/>
  <c r="F993" i="1"/>
  <c r="G993" i="1" s="1"/>
  <c r="F1005" i="1"/>
  <c r="G1005" i="1" s="1"/>
  <c r="F1017" i="1"/>
  <c r="G1017" i="1" s="1"/>
  <c r="F1029" i="1"/>
  <c r="G1029" i="1" s="1"/>
  <c r="F1053" i="1"/>
  <c r="G1053" i="1" s="1"/>
  <c r="F1065" i="1"/>
  <c r="G1065" i="1" s="1"/>
  <c r="F1089" i="1"/>
  <c r="G1089" i="1" s="1"/>
  <c r="F1101" i="1"/>
  <c r="G1101" i="1" s="1"/>
  <c r="F1113" i="1"/>
  <c r="G1113" i="1" s="1"/>
  <c r="F1125" i="1"/>
  <c r="G1125" i="1" s="1"/>
  <c r="F1137" i="1"/>
  <c r="G1137" i="1" s="1"/>
  <c r="F1161" i="1"/>
  <c r="G1161" i="1" s="1"/>
  <c r="F1173" i="1"/>
  <c r="G1173" i="1" s="1"/>
  <c r="F1185" i="1"/>
  <c r="G1185" i="1" s="1"/>
  <c r="F1209" i="1"/>
  <c r="G1209" i="1" s="1"/>
  <c r="F1221" i="1"/>
  <c r="G1221" i="1" s="1"/>
  <c r="F1233" i="1"/>
  <c r="G1233" i="1" s="1"/>
  <c r="F1245" i="1"/>
  <c r="G1245" i="1" s="1"/>
  <c r="F1257" i="1"/>
  <c r="G1257" i="1" s="1"/>
  <c r="F1269" i="1"/>
  <c r="G1269" i="1" s="1"/>
  <c r="F1281" i="1"/>
  <c r="G1281" i="1" s="1"/>
  <c r="F1293" i="1"/>
  <c r="G1293" i="1" s="1"/>
  <c r="F1317" i="1"/>
  <c r="G1317" i="1" s="1"/>
  <c r="F1329" i="1"/>
  <c r="G1329" i="1" s="1"/>
  <c r="F1341" i="1"/>
  <c r="G1341" i="1" s="1"/>
  <c r="F1353" i="1"/>
  <c r="G1353" i="1" s="1"/>
  <c r="F1365" i="1"/>
  <c r="G1365" i="1" s="1"/>
  <c r="F1377" i="1"/>
  <c r="G1377" i="1" s="1"/>
  <c r="F1389" i="1"/>
  <c r="G1389" i="1" s="1"/>
  <c r="F1401" i="1"/>
  <c r="G1401" i="1" s="1"/>
  <c r="F1425" i="1"/>
  <c r="F703" i="1"/>
  <c r="G703" i="1" s="1"/>
  <c r="F670" i="1"/>
  <c r="G670" i="1" s="1"/>
  <c r="F694" i="1"/>
  <c r="G694" i="1" s="1"/>
  <c r="F838" i="1"/>
  <c r="G838" i="1" s="1"/>
  <c r="F982" i="1"/>
  <c r="G982" i="1" s="1"/>
  <c r="F1006" i="1"/>
  <c r="G1006" i="1" s="1"/>
  <c r="F1054" i="1"/>
  <c r="G1054" i="1" s="1"/>
  <c r="F1102" i="1"/>
  <c r="G1102" i="1" s="1"/>
  <c r="F1126" i="1"/>
  <c r="G1126" i="1" s="1"/>
  <c r="F1174" i="1"/>
  <c r="G1174" i="1" s="1"/>
  <c r="F1198" i="1"/>
  <c r="G1198" i="1" s="1"/>
  <c r="F1222" i="1"/>
  <c r="G1222" i="1" s="1"/>
  <c r="F1246" i="1"/>
  <c r="G1246" i="1" s="1"/>
  <c r="F1270" i="1"/>
  <c r="G1270" i="1" s="1"/>
  <c r="F1294" i="1"/>
  <c r="G1294" i="1" s="1"/>
  <c r="F1318" i="1"/>
  <c r="G1318" i="1" s="1"/>
  <c r="F1342" i="1"/>
  <c r="G1342" i="1" s="1"/>
  <c r="F1366" i="1"/>
  <c r="G1366" i="1" s="1"/>
  <c r="F907" i="1"/>
  <c r="G907" i="1" s="1"/>
  <c r="F682" i="1"/>
  <c r="G682" i="1" s="1"/>
  <c r="F706" i="1"/>
  <c r="G706" i="1" s="1"/>
  <c r="F754" i="1"/>
  <c r="G754" i="1" s="1"/>
  <c r="F778" i="1"/>
  <c r="G778" i="1" s="1"/>
  <c r="F826" i="1"/>
  <c r="G826" i="1" s="1"/>
  <c r="F850" i="1"/>
  <c r="G850" i="1" s="1"/>
  <c r="F874" i="1"/>
  <c r="G874" i="1" s="1"/>
  <c r="F898" i="1"/>
  <c r="G898" i="1" s="1"/>
  <c r="F910" i="1"/>
  <c r="G910" i="1" s="1"/>
  <c r="F934" i="1"/>
  <c r="G934" i="1" s="1"/>
  <c r="F970" i="1"/>
  <c r="G970" i="1" s="1"/>
  <c r="F994" i="1"/>
  <c r="G994" i="1" s="1"/>
  <c r="F1066" i="1"/>
  <c r="G1066" i="1" s="1"/>
  <c r="F1138" i="1"/>
  <c r="G1138" i="1" s="1"/>
  <c r="F1162" i="1"/>
  <c r="G1162" i="1" s="1"/>
  <c r="F1186" i="1"/>
  <c r="G1186" i="1" s="1"/>
  <c r="F1234" i="1"/>
  <c r="G1234" i="1" s="1"/>
  <c r="F1258" i="1"/>
  <c r="G1258" i="1" s="1"/>
  <c r="F1330" i="1"/>
  <c r="G1330" i="1" s="1"/>
  <c r="F1390" i="1"/>
  <c r="G1390" i="1" s="1"/>
  <c r="F1414" i="1"/>
  <c r="G1414" i="1" s="1"/>
  <c r="F1426" i="1"/>
  <c r="F671" i="1"/>
  <c r="G671" i="1" s="1"/>
  <c r="F683" i="1"/>
  <c r="G683" i="1" s="1"/>
  <c r="F707" i="1"/>
  <c r="G707" i="1" s="1"/>
  <c r="F731" i="1"/>
  <c r="G731" i="1" s="1"/>
  <c r="F755" i="1"/>
  <c r="G755" i="1" s="1"/>
  <c r="F767" i="1"/>
  <c r="G767" i="1" s="1"/>
  <c r="F779" i="1"/>
  <c r="G779" i="1" s="1"/>
  <c r="F815" i="1"/>
  <c r="G815" i="1" s="1"/>
  <c r="F827" i="1"/>
  <c r="G827" i="1" s="1"/>
  <c r="F839" i="1"/>
  <c r="G839" i="1" s="1"/>
  <c r="F851" i="1"/>
  <c r="G851" i="1" s="1"/>
  <c r="F875" i="1"/>
  <c r="G875" i="1" s="1"/>
  <c r="F887" i="1"/>
  <c r="G887" i="1" s="1"/>
  <c r="F899" i="1"/>
  <c r="G899" i="1" s="1"/>
  <c r="F923" i="1"/>
  <c r="G923" i="1" s="1"/>
  <c r="F983" i="1"/>
  <c r="G983" i="1" s="1"/>
  <c r="F995" i="1"/>
  <c r="G995" i="1" s="1"/>
  <c r="F1007" i="1"/>
  <c r="G1007" i="1" s="1"/>
  <c r="F1019" i="1"/>
  <c r="G1019" i="1" s="1"/>
  <c r="F1031" i="1"/>
  <c r="G1031" i="1" s="1"/>
  <c r="F1043" i="1"/>
  <c r="G1043" i="1" s="1"/>
  <c r="F1055" i="1"/>
  <c r="G1055" i="1" s="1"/>
  <c r="F1067" i="1"/>
  <c r="G1067" i="1" s="1"/>
  <c r="F1079" i="1"/>
  <c r="G1079" i="1" s="1"/>
  <c r="F1091" i="1"/>
  <c r="G1091" i="1" s="1"/>
  <c r="F1115" i="1"/>
  <c r="G1115" i="1" s="1"/>
  <c r="F1127" i="1"/>
  <c r="G1127" i="1" s="1"/>
  <c r="F1139" i="1"/>
  <c r="G1139" i="1" s="1"/>
  <c r="F1151" i="1"/>
  <c r="G1151" i="1" s="1"/>
  <c r="F1163" i="1"/>
  <c r="G1163" i="1" s="1"/>
  <c r="F1175" i="1"/>
  <c r="G1175" i="1" s="1"/>
  <c r="F1187" i="1"/>
  <c r="G1187" i="1" s="1"/>
  <c r="F1199" i="1"/>
  <c r="G1199" i="1" s="1"/>
  <c r="F1211" i="1"/>
  <c r="G1211" i="1" s="1"/>
  <c r="F1223" i="1"/>
  <c r="G1223" i="1" s="1"/>
  <c r="F1235" i="1"/>
  <c r="G1235" i="1" s="1"/>
  <c r="F1247" i="1"/>
  <c r="G1247" i="1" s="1"/>
  <c r="F1259" i="1"/>
  <c r="G1259" i="1" s="1"/>
  <c r="F1283" i="1"/>
  <c r="G1283" i="1" s="1"/>
  <c r="F1295" i="1"/>
  <c r="G1295" i="1" s="1"/>
  <c r="F1307" i="1"/>
  <c r="G1307" i="1" s="1"/>
  <c r="F1319" i="1"/>
  <c r="G1319" i="1" s="1"/>
  <c r="F1343" i="1"/>
  <c r="G1343" i="1" s="1"/>
  <c r="F1355" i="1"/>
  <c r="G1355" i="1" s="1"/>
  <c r="F1391" i="1"/>
  <c r="G1391" i="1" s="1"/>
  <c r="F1415" i="1"/>
  <c r="G1415" i="1" s="1"/>
  <c r="F792" i="1"/>
  <c r="G792" i="1" s="1"/>
  <c r="F828" i="1"/>
  <c r="G828" i="1" s="1"/>
  <c r="F1020" i="1"/>
  <c r="G1020" i="1" s="1"/>
  <c r="F1032" i="1"/>
  <c r="G1032" i="1" s="1"/>
  <c r="F1080" i="1"/>
  <c r="G1080" i="1" s="1"/>
  <c r="F1092" i="1"/>
  <c r="G1092" i="1" s="1"/>
  <c r="F1176" i="1"/>
  <c r="G1176" i="1" s="1"/>
  <c r="F1188" i="1"/>
  <c r="G1188" i="1" s="1"/>
  <c r="F1224" i="1"/>
  <c r="G1224" i="1" s="1"/>
  <c r="F1260" i="1"/>
  <c r="G1260" i="1" s="1"/>
  <c r="F1284" i="1"/>
  <c r="G1284" i="1" s="1"/>
  <c r="F1296" i="1"/>
  <c r="G1296" i="1" s="1"/>
  <c r="F1320" i="1"/>
  <c r="G1320" i="1" s="1"/>
  <c r="F1332" i="1"/>
  <c r="G1332" i="1" s="1"/>
  <c r="F1380" i="1"/>
  <c r="G1380" i="1" s="1"/>
  <c r="F1404" i="1"/>
  <c r="G1404" i="1" s="1"/>
  <c r="F1416" i="1"/>
  <c r="G1416" i="1" s="1"/>
  <c r="F1428" i="1"/>
  <c r="F816" i="1"/>
  <c r="G816" i="1" s="1"/>
  <c r="F888" i="1"/>
  <c r="G888" i="1" s="1"/>
  <c r="F709" i="1"/>
  <c r="G709" i="1" s="1"/>
  <c r="F805" i="1"/>
  <c r="G805" i="1" s="1"/>
  <c r="F829" i="1"/>
  <c r="G829" i="1" s="1"/>
  <c r="F853" i="1"/>
  <c r="G853" i="1" s="1"/>
  <c r="F913" i="1"/>
  <c r="G913" i="1" s="1"/>
  <c r="F949" i="1"/>
  <c r="G949" i="1" s="1"/>
  <c r="F985" i="1"/>
  <c r="G985" i="1" s="1"/>
  <c r="F1033" i="1"/>
  <c r="G1033" i="1" s="1"/>
  <c r="F1057" i="1"/>
  <c r="G1057" i="1" s="1"/>
  <c r="F1081" i="1"/>
  <c r="G1081" i="1" s="1"/>
  <c r="F1153" i="1"/>
  <c r="G1153" i="1" s="1"/>
  <c r="F1249" i="1"/>
  <c r="G1249" i="1" s="1"/>
  <c r="F1297" i="1"/>
  <c r="G1297" i="1" s="1"/>
  <c r="F1321" i="1"/>
  <c r="G1321" i="1" s="1"/>
  <c r="F1369" i="1"/>
  <c r="G1369" i="1" s="1"/>
  <c r="F1393" i="1"/>
  <c r="G1393" i="1" s="1"/>
  <c r="F1417" i="1"/>
  <c r="G1417" i="1" s="1"/>
  <c r="F864" i="1"/>
  <c r="G864" i="1" s="1"/>
  <c r="F912" i="1"/>
  <c r="G912" i="1" s="1"/>
  <c r="F936" i="1"/>
  <c r="G936" i="1" s="1"/>
  <c r="F972" i="1"/>
  <c r="G972" i="1" s="1"/>
  <c r="F1044" i="1"/>
  <c r="G1044" i="1" s="1"/>
  <c r="F697" i="1"/>
  <c r="G697" i="1" s="1"/>
  <c r="F721" i="1"/>
  <c r="G721" i="1" s="1"/>
  <c r="F865" i="1"/>
  <c r="G865" i="1" s="1"/>
  <c r="F877" i="1"/>
  <c r="G877" i="1" s="1"/>
  <c r="F925" i="1"/>
  <c r="G925" i="1" s="1"/>
  <c r="F961" i="1"/>
  <c r="G961" i="1" s="1"/>
  <c r="F1021" i="1"/>
  <c r="G1021" i="1" s="1"/>
  <c r="F1045" i="1"/>
  <c r="G1045" i="1" s="1"/>
  <c r="F1213" i="1"/>
  <c r="G1213" i="1" s="1"/>
  <c r="F1261" i="1"/>
  <c r="G1261" i="1" s="1"/>
  <c r="F1285" i="1"/>
  <c r="G1285" i="1" s="1"/>
  <c r="F1309" i="1"/>
  <c r="G1309" i="1" s="1"/>
  <c r="F1381" i="1"/>
  <c r="G1381" i="1" s="1"/>
  <c r="F674" i="1"/>
  <c r="G674" i="1" s="1"/>
  <c r="F698" i="1"/>
  <c r="G698" i="1" s="1"/>
  <c r="F710" i="1"/>
  <c r="G710" i="1" s="1"/>
  <c r="F722" i="1"/>
  <c r="G722" i="1" s="1"/>
  <c r="F746" i="1"/>
  <c r="G746" i="1" s="1"/>
  <c r="F758" i="1"/>
  <c r="G758" i="1" s="1"/>
  <c r="F794" i="1"/>
  <c r="G794" i="1" s="1"/>
  <c r="F806" i="1"/>
  <c r="G806" i="1" s="1"/>
  <c r="F818" i="1"/>
  <c r="G818" i="1" s="1"/>
  <c r="F830" i="1"/>
  <c r="G830" i="1" s="1"/>
  <c r="F842" i="1"/>
  <c r="G842" i="1" s="1"/>
  <c r="F866" i="1"/>
  <c r="G866" i="1" s="1"/>
  <c r="F878" i="1"/>
  <c r="G878" i="1" s="1"/>
  <c r="F890" i="1"/>
  <c r="G890" i="1" s="1"/>
  <c r="F902" i="1"/>
  <c r="G902" i="1" s="1"/>
  <c r="F914" i="1"/>
  <c r="G914" i="1" s="1"/>
  <c r="F926" i="1"/>
  <c r="G926" i="1" s="1"/>
  <c r="F938" i="1"/>
  <c r="G938" i="1" s="1"/>
  <c r="F950" i="1"/>
  <c r="G950" i="1" s="1"/>
  <c r="F974" i="1"/>
  <c r="G974" i="1" s="1"/>
  <c r="F986" i="1"/>
  <c r="G986" i="1" s="1"/>
  <c r="F998" i="1"/>
  <c r="G998" i="1" s="1"/>
  <c r="F1010" i="1"/>
  <c r="G1010" i="1" s="1"/>
  <c r="F1022" i="1"/>
  <c r="G1022" i="1" s="1"/>
  <c r="F1046" i="1"/>
  <c r="G1046" i="1" s="1"/>
  <c r="F1058" i="1"/>
  <c r="G1058" i="1" s="1"/>
  <c r="F1082" i="1"/>
  <c r="G1082" i="1" s="1"/>
  <c r="F1094" i="1"/>
  <c r="G1094" i="1" s="1"/>
  <c r="F1130" i="1"/>
  <c r="G1130" i="1" s="1"/>
  <c r="F1142" i="1"/>
  <c r="G1142" i="1" s="1"/>
  <c r="F1178" i="1"/>
  <c r="G1178" i="1" s="1"/>
  <c r="F1202" i="1"/>
  <c r="G1202" i="1" s="1"/>
  <c r="F1214" i="1"/>
  <c r="G1214" i="1" s="1"/>
  <c r="F1226" i="1"/>
  <c r="G1226" i="1" s="1"/>
  <c r="F1238" i="1"/>
  <c r="G1238" i="1" s="1"/>
  <c r="F1250" i="1"/>
  <c r="G1250" i="1" s="1"/>
  <c r="F1262" i="1"/>
  <c r="G1262" i="1" s="1"/>
  <c r="F1358" i="1"/>
  <c r="G1358" i="1" s="1"/>
  <c r="F1370" i="1"/>
  <c r="G1370" i="1" s="1"/>
  <c r="F1382" i="1"/>
  <c r="G1382" i="1" s="1"/>
  <c r="F1406" i="1"/>
  <c r="G1406" i="1" s="1"/>
  <c r="F1418" i="1"/>
  <c r="G1418" i="1" s="1"/>
  <c r="F1047" i="1"/>
  <c r="G1047" i="1" s="1"/>
  <c r="F1107" i="1"/>
  <c r="G1107" i="1" s="1"/>
  <c r="F1155" i="1"/>
  <c r="G1155" i="1" s="1"/>
  <c r="F1239" i="1"/>
  <c r="G1239" i="1" s="1"/>
  <c r="F1275" i="1"/>
  <c r="G1275" i="1" s="1"/>
  <c r="F1323" i="1"/>
  <c r="G1323" i="1" s="1"/>
  <c r="F1347" i="1"/>
  <c r="G1347" i="1" s="1"/>
  <c r="F1371" i="1"/>
  <c r="G1371" i="1" s="1"/>
  <c r="F1407" i="1"/>
  <c r="G1407" i="1" s="1"/>
  <c r="F1419" i="1"/>
  <c r="G1419" i="1" s="1"/>
  <c r="F964" i="1"/>
  <c r="G964" i="1" s="1"/>
  <c r="F1036" i="1"/>
  <c r="G1036" i="1" s="1"/>
  <c r="F1120" i="1"/>
  <c r="G1120" i="1" s="1"/>
  <c r="F1144" i="1"/>
  <c r="G1144" i="1" s="1"/>
  <c r="F1192" i="1"/>
  <c r="G1192" i="1" s="1"/>
  <c r="F1216" i="1"/>
  <c r="G1216" i="1" s="1"/>
  <c r="F1264" i="1"/>
  <c r="G1264" i="1" s="1"/>
  <c r="F1276" i="1"/>
  <c r="G1276" i="1" s="1"/>
  <c r="F1300" i="1"/>
  <c r="G1300" i="1" s="1"/>
  <c r="F1348" i="1"/>
  <c r="G1348" i="1" s="1"/>
  <c r="F1360" i="1"/>
  <c r="G1360" i="1" s="1"/>
  <c r="F1372" i="1"/>
  <c r="G1372" i="1" s="1"/>
  <c r="F1396" i="1"/>
  <c r="G1396" i="1" s="1"/>
  <c r="F1408" i="1"/>
  <c r="G1408" i="1" s="1"/>
  <c r="F1420" i="1"/>
  <c r="G1420" i="1" s="1"/>
  <c r="F761" i="1"/>
  <c r="G761" i="1" s="1"/>
  <c r="F821" i="1"/>
  <c r="G821" i="1" s="1"/>
  <c r="F833" i="1"/>
  <c r="G833" i="1" s="1"/>
  <c r="F941" i="1"/>
  <c r="G941" i="1" s="1"/>
  <c r="F989" i="1"/>
  <c r="G989" i="1" s="1"/>
  <c r="F1013" i="1"/>
  <c r="G1013" i="1" s="1"/>
  <c r="F1037" i="1"/>
  <c r="G1037" i="1" s="1"/>
  <c r="F1169" i="1"/>
  <c r="G1169" i="1" s="1"/>
  <c r="F1217" i="1"/>
  <c r="G1217" i="1" s="1"/>
  <c r="F1253" i="1"/>
  <c r="G1253" i="1" s="1"/>
  <c r="F1301" i="1"/>
  <c r="G1301" i="1" s="1"/>
  <c r="F1313" i="1"/>
  <c r="G1313" i="1" s="1"/>
  <c r="F1361" i="1"/>
  <c r="G1361" i="1" s="1"/>
  <c r="F1373" i="1"/>
  <c r="G1373" i="1" s="1"/>
  <c r="F1385" i="1"/>
  <c r="G1385" i="1" s="1"/>
  <c r="F1421" i="1"/>
  <c r="G1421" i="1" s="1"/>
  <c r="F701" i="1"/>
  <c r="G701" i="1" s="1"/>
  <c r="F773" i="1"/>
  <c r="G773" i="1" s="1"/>
  <c r="F785" i="1"/>
  <c r="G785" i="1" s="1"/>
  <c r="F929" i="1"/>
  <c r="G929" i="1" s="1"/>
  <c r="F953" i="1"/>
  <c r="G953" i="1" s="1"/>
  <c r="F1025" i="1"/>
  <c r="G1025" i="1" s="1"/>
  <c r="F1073" i="1"/>
  <c r="G1073" i="1" s="1"/>
  <c r="F1097" i="1"/>
  <c r="G1097" i="1" s="1"/>
  <c r="F1145" i="1"/>
  <c r="G1145" i="1" s="1"/>
  <c r="F1205" i="1"/>
  <c r="G1205" i="1" s="1"/>
  <c r="F1265" i="1"/>
  <c r="G1265" i="1" s="1"/>
  <c r="F702" i="1"/>
  <c r="G702" i="1" s="1"/>
  <c r="F726" i="1"/>
  <c r="G726" i="1" s="1"/>
  <c r="F762" i="1"/>
  <c r="G762" i="1" s="1"/>
  <c r="F810" i="1"/>
  <c r="G810" i="1" s="1"/>
  <c r="F846" i="1"/>
  <c r="G846" i="1" s="1"/>
  <c r="F882" i="1"/>
  <c r="G882" i="1" s="1"/>
  <c r="F894" i="1"/>
  <c r="G894" i="1" s="1"/>
  <c r="F906" i="1"/>
  <c r="G906" i="1" s="1"/>
  <c r="F918" i="1"/>
  <c r="G918" i="1" s="1"/>
  <c r="F966" i="1"/>
  <c r="G966" i="1" s="1"/>
  <c r="F978" i="1"/>
  <c r="G978" i="1" s="1"/>
  <c r="F990" i="1"/>
  <c r="G990" i="1" s="1"/>
  <c r="F1002" i="1"/>
  <c r="G1002" i="1" s="1"/>
  <c r="F1014" i="1"/>
  <c r="G1014" i="1" s="1"/>
  <c r="F1026" i="1"/>
  <c r="G1026" i="1" s="1"/>
  <c r="F1074" i="1"/>
  <c r="G1074" i="1" s="1"/>
  <c r="F1098" i="1"/>
  <c r="G1098" i="1" s="1"/>
  <c r="F1122" i="1"/>
  <c r="G1122" i="1" s="1"/>
  <c r="F1146" i="1"/>
  <c r="G1146" i="1" s="1"/>
  <c r="F1194" i="1"/>
  <c r="G1194" i="1" s="1"/>
  <c r="F1230" i="1"/>
  <c r="G1230" i="1" s="1"/>
  <c r="F1254" i="1"/>
  <c r="G1254" i="1" s="1"/>
  <c r="F1266" i="1"/>
  <c r="G1266" i="1" s="1"/>
  <c r="F1278" i="1"/>
  <c r="G1278" i="1" s="1"/>
  <c r="F1302" i="1"/>
  <c r="G1302" i="1" s="1"/>
  <c r="F1314" i="1"/>
  <c r="G1314" i="1" s="1"/>
  <c r="F1326" i="1"/>
  <c r="G1326" i="1" s="1"/>
  <c r="F1350" i="1"/>
  <c r="G1350" i="1" s="1"/>
  <c r="F1386" i="1"/>
  <c r="G1386" i="1" s="1"/>
  <c r="F1410" i="1"/>
  <c r="G1410" i="1" s="1"/>
  <c r="F871" i="1"/>
  <c r="G871" i="1" s="1"/>
  <c r="F919" i="1"/>
  <c r="G919" i="1" s="1"/>
  <c r="F1159" i="1"/>
  <c r="G1159" i="1" s="1"/>
  <c r="F1231" i="1"/>
  <c r="G1231" i="1" s="1"/>
  <c r="F1303" i="1"/>
  <c r="G1303" i="1" s="1"/>
  <c r="F1327" i="1"/>
  <c r="G1327" i="1" s="1"/>
  <c r="F1339" i="1"/>
  <c r="G1339" i="1" s="1"/>
  <c r="F1363" i="1"/>
  <c r="G1363" i="1" s="1"/>
  <c r="F1375" i="1"/>
  <c r="G1375" i="1" s="1"/>
  <c r="F1399" i="1"/>
  <c r="G1399" i="1" s="1"/>
  <c r="F847" i="1"/>
  <c r="G847" i="1" s="1"/>
  <c r="F895" i="1"/>
  <c r="G895" i="1" s="1"/>
  <c r="F943" i="1"/>
  <c r="G943" i="1" s="1"/>
  <c r="F1063" i="1"/>
  <c r="G1063" i="1" s="1"/>
  <c r="F1135" i="1"/>
  <c r="G1135" i="1" s="1"/>
  <c r="F1195" i="1"/>
  <c r="G1195" i="1" s="1"/>
  <c r="F1243" i="1"/>
  <c r="G1243" i="1" s="1"/>
  <c r="F704" i="1"/>
  <c r="G704" i="1" s="1"/>
  <c r="F740" i="1"/>
  <c r="G740" i="1" s="1"/>
  <c r="F788" i="1"/>
  <c r="G788" i="1" s="1"/>
  <c r="F812" i="1"/>
  <c r="G812" i="1" s="1"/>
  <c r="F908" i="1"/>
  <c r="G908" i="1" s="1"/>
  <c r="F932" i="1"/>
  <c r="G932" i="1" s="1"/>
  <c r="F956" i="1"/>
  <c r="G956" i="1" s="1"/>
  <c r="F1196" i="1"/>
  <c r="G1196" i="1" s="1"/>
  <c r="F664" i="1"/>
  <c r="G664" i="1" s="1"/>
  <c r="F650" i="1"/>
  <c r="G650" i="1" s="1"/>
  <c r="F643" i="1"/>
  <c r="G643" i="1" s="1"/>
  <c r="F624" i="1"/>
  <c r="G624" i="1" s="1"/>
  <c r="F620" i="1"/>
  <c r="G620" i="1" s="1"/>
  <c r="F608" i="1"/>
  <c r="G608" i="1" s="1"/>
  <c r="F597" i="1"/>
  <c r="G597" i="1" s="1"/>
  <c r="F580" i="1"/>
  <c r="G580" i="1" s="1"/>
  <c r="F547" i="1"/>
  <c r="G547" i="1" s="1"/>
  <c r="F519" i="1"/>
  <c r="G519" i="1" s="1"/>
  <c r="F481" i="1"/>
  <c r="G481" i="1" s="1"/>
  <c r="F456" i="1"/>
  <c r="G456" i="1" s="1"/>
  <c r="F446" i="1"/>
  <c r="G446" i="1" s="1"/>
  <c r="F428" i="1"/>
  <c r="G428" i="1" s="1"/>
  <c r="F534" i="1"/>
  <c r="G534" i="1" s="1"/>
  <c r="F393" i="1" l="1"/>
  <c r="G393" i="1" s="1"/>
  <c r="F375" i="1"/>
  <c r="G375" i="1" s="1"/>
  <c r="F366" i="1"/>
  <c r="G366" i="1" s="1"/>
  <c r="F342" i="1"/>
  <c r="G342" i="1" s="1"/>
  <c r="F290" i="1"/>
  <c r="G290" i="1" s="1"/>
  <c r="F275" i="1"/>
  <c r="G275" i="1" s="1"/>
  <c r="F243" i="1"/>
  <c r="G243" i="1" s="1"/>
  <c r="F194" i="1"/>
  <c r="G194" i="1" s="1"/>
  <c r="F187" i="1"/>
  <c r="G187" i="1" s="1"/>
  <c r="F178" i="1"/>
  <c r="G178" i="1" s="1"/>
  <c r="F162" i="1"/>
  <c r="G162" i="1" s="1"/>
  <c r="F158" i="1"/>
  <c r="G158" i="1" s="1"/>
  <c r="F143" i="1"/>
  <c r="G143" i="1" s="1"/>
  <c r="F126" i="1"/>
  <c r="G126" i="1" s="1"/>
  <c r="F119" i="1"/>
  <c r="G119" i="1" s="1"/>
  <c r="F113" i="1"/>
  <c r="G113" i="1" s="1"/>
  <c r="F108" i="1"/>
  <c r="G108" i="1" s="1"/>
  <c r="F77" i="1"/>
  <c r="G77" i="1" s="1"/>
  <c r="F67" i="1"/>
  <c r="G67" i="1" s="1"/>
  <c r="F63" i="1"/>
  <c r="G63" i="1" s="1"/>
  <c r="F59" i="1"/>
  <c r="G59" i="1" s="1"/>
  <c r="F52" i="1"/>
  <c r="G52" i="1" s="1"/>
  <c r="F43" i="1"/>
  <c r="G43" i="1" s="1"/>
  <c r="F29" i="1"/>
  <c r="G29" i="1" s="1"/>
  <c r="F14" i="1"/>
  <c r="G14" i="1" s="1"/>
  <c r="F8" i="1"/>
  <c r="G8" i="1" s="1"/>
  <c r="C128" i="2"/>
  <c r="F411" i="1" s="1"/>
  <c r="G411" i="1" s="1"/>
  <c r="F619" i="1" l="1"/>
  <c r="G619" i="1" s="1"/>
  <c r="F607" i="1"/>
  <c r="G607" i="1" s="1"/>
  <c r="F559" i="1"/>
  <c r="G559" i="1" s="1"/>
  <c r="F594" i="1"/>
  <c r="G594" i="1" s="1"/>
  <c r="F414" i="1"/>
  <c r="G414" i="1" s="1"/>
  <c r="F651" i="1"/>
  <c r="G651" i="1" s="1"/>
  <c r="F641" i="1"/>
  <c r="G641" i="1" s="1"/>
  <c r="F435" i="1"/>
  <c r="G435" i="1" s="1"/>
  <c r="F604" i="1"/>
  <c r="G604" i="1" s="1"/>
  <c r="F627" i="1"/>
  <c r="G627" i="1" s="1"/>
  <c r="F518" i="1"/>
  <c r="G518" i="1" s="1"/>
  <c r="F506" i="1"/>
  <c r="G506" i="1" s="1"/>
  <c r="F494" i="1"/>
  <c r="G494" i="1" s="1"/>
  <c r="F659" i="1"/>
  <c r="G659" i="1" s="1"/>
  <c r="F587" i="1"/>
  <c r="G587" i="1" s="1"/>
  <c r="F455" i="1"/>
  <c r="G455" i="1" s="1"/>
  <c r="F418" i="1"/>
  <c r="G418" i="1" s="1"/>
  <c r="F610" i="1"/>
  <c r="G610" i="1" s="1"/>
  <c r="F540" i="1"/>
  <c r="G540" i="1" s="1"/>
  <c r="F432" i="1"/>
  <c r="G432" i="1" s="1"/>
  <c r="F488" i="1"/>
  <c r="G488" i="1" s="1"/>
  <c r="F562" i="1"/>
  <c r="G562" i="1" s="1"/>
  <c r="F658" i="1"/>
  <c r="G658" i="1" s="1"/>
  <c r="F525" i="1"/>
  <c r="G525" i="1" s="1"/>
  <c r="F453" i="1"/>
  <c r="G453" i="1" s="1"/>
  <c r="E126" i="1"/>
  <c r="E121" i="1"/>
  <c r="E119" i="1"/>
  <c r="E108" i="1"/>
  <c r="F400" i="1" l="1"/>
  <c r="G400" i="1" s="1"/>
  <c r="F571" i="1"/>
  <c r="G571" i="1" s="1"/>
  <c r="F436" i="1"/>
  <c r="G436" i="1" s="1"/>
  <c r="F467" i="1"/>
  <c r="G467" i="1" s="1"/>
  <c r="F473" i="1"/>
  <c r="G473" i="1" s="1"/>
  <c r="F140" i="1"/>
  <c r="G140" i="1" s="1"/>
  <c r="F621" i="1"/>
  <c r="G621" i="1" s="1"/>
  <c r="F74" i="1"/>
  <c r="G74" i="1" s="1"/>
  <c r="F655" i="1"/>
  <c r="G655" i="1" s="1"/>
  <c r="F31" i="1"/>
  <c r="G31" i="1" s="1"/>
  <c r="F377" i="1"/>
  <c r="G377" i="1" s="1"/>
  <c r="F312" i="1"/>
  <c r="G312" i="1" s="1"/>
  <c r="C2" i="2"/>
  <c r="G1640" i="1"/>
  <c r="G1639" i="1"/>
  <c r="G1624" i="1"/>
  <c r="G1621" i="1"/>
  <c r="G1620" i="1"/>
  <c r="G1619" i="1"/>
  <c r="G1618" i="1"/>
  <c r="G1612" i="1"/>
  <c r="G1611" i="1"/>
  <c r="G1610" i="1"/>
  <c r="G1609" i="1"/>
  <c r="G1605" i="1"/>
  <c r="G1595" i="1"/>
  <c r="G1594" i="1"/>
  <c r="G1593" i="1"/>
  <c r="G1585" i="1"/>
  <c r="G1584" i="1"/>
  <c r="G1583" i="1"/>
  <c r="G1581" i="1"/>
  <c r="G1580" i="1"/>
  <c r="G1577" i="1"/>
  <c r="G1575" i="1"/>
  <c r="G1571" i="1"/>
  <c r="G1570" i="1"/>
  <c r="G1569" i="1"/>
  <c r="G1568" i="1"/>
  <c r="G1567" i="1"/>
  <c r="G1561" i="1"/>
  <c r="G1559" i="1"/>
  <c r="G1556" i="1"/>
  <c r="G1550" i="1"/>
  <c r="G1543" i="1"/>
  <c r="G1542" i="1"/>
  <c r="G1541" i="1"/>
  <c r="G1538" i="1"/>
  <c r="G1537" i="1"/>
  <c r="G1534" i="1"/>
  <c r="G1533" i="1"/>
  <c r="G1522" i="1"/>
  <c r="G1520" i="1"/>
  <c r="G1519" i="1"/>
  <c r="G1518" i="1"/>
  <c r="G1517" i="1"/>
  <c r="G1511" i="1"/>
  <c r="G1510" i="1"/>
  <c r="G1509" i="1"/>
  <c r="G1507" i="1"/>
  <c r="G1497" i="1"/>
  <c r="G1490" i="1"/>
  <c r="G1487" i="1"/>
  <c r="G1486" i="1"/>
  <c r="G1485" i="1"/>
  <c r="G1484" i="1"/>
  <c r="G1482" i="1"/>
  <c r="G1476" i="1"/>
  <c r="G1475" i="1"/>
  <c r="G1468" i="1"/>
  <c r="G1467" i="1"/>
  <c r="G1466" i="1"/>
  <c r="G1464" i="1"/>
  <c r="G1463" i="1"/>
  <c r="G1462" i="1"/>
  <c r="G1461" i="1"/>
  <c r="G1458" i="1"/>
  <c r="G1457" i="1"/>
  <c r="G1451" i="1"/>
  <c r="G1448" i="1"/>
  <c r="G1442" i="1"/>
  <c r="G1435" i="1"/>
  <c r="G1434" i="1"/>
  <c r="G1433" i="1"/>
  <c r="G1431" i="1"/>
  <c r="G1430" i="1"/>
  <c r="G1429" i="1"/>
  <c r="G1425" i="1"/>
  <c r="F1411" i="1" l="1"/>
  <c r="G1411" i="1" s="1"/>
  <c r="F868" i="1"/>
  <c r="G868" i="1" s="1"/>
  <c r="F1086" i="1"/>
  <c r="G1086" i="1" s="1"/>
  <c r="F820" i="1"/>
  <c r="G820" i="1" s="1"/>
  <c r="F736" i="1"/>
  <c r="G736" i="1" s="1"/>
  <c r="F1359" i="1"/>
  <c r="G1359" i="1" s="1"/>
  <c r="F854" i="1"/>
  <c r="G854" i="1" s="1"/>
  <c r="F1333" i="1"/>
  <c r="G1333" i="1" s="1"/>
  <c r="F973" i="1"/>
  <c r="G973" i="1" s="1"/>
  <c r="F1008" i="1"/>
  <c r="G1008" i="1" s="1"/>
  <c r="F1368" i="1"/>
  <c r="G1368" i="1" s="1"/>
  <c r="F1356" i="1"/>
  <c r="G1356" i="1" s="1"/>
  <c r="F1403" i="1"/>
  <c r="G1403" i="1" s="1"/>
  <c r="F935" i="1"/>
  <c r="G935" i="1" s="1"/>
  <c r="F1040" i="1"/>
  <c r="G1040" i="1" s="1"/>
  <c r="F303" i="1"/>
  <c r="G303" i="1" s="1"/>
  <c r="F474" i="1"/>
  <c r="G474" i="1" s="1"/>
  <c r="F459" i="1"/>
  <c r="G459" i="1" s="1"/>
  <c r="F460" i="1"/>
  <c r="G460" i="1" s="1"/>
  <c r="F423" i="1"/>
  <c r="G423" i="1" s="1"/>
  <c r="F556" i="1"/>
  <c r="G556" i="1" s="1"/>
  <c r="F572" i="1"/>
  <c r="G572" i="1" s="1"/>
  <c r="F550" i="1"/>
  <c r="G550" i="1" s="1"/>
  <c r="F586" i="1"/>
  <c r="G586" i="1" s="1"/>
  <c r="F447" i="1"/>
  <c r="G447" i="1" s="1"/>
  <c r="F318" i="1"/>
  <c r="G318" i="1" s="1"/>
  <c r="F495" i="1"/>
  <c r="G495" i="1" s="1"/>
  <c r="F637" i="1"/>
  <c r="G637" i="1" s="1"/>
  <c r="F644" i="1"/>
  <c r="G644" i="1" s="1"/>
  <c r="F429" i="1"/>
  <c r="G429" i="1" s="1"/>
  <c r="F665" i="1"/>
  <c r="G665" i="1" s="1"/>
  <c r="F501" i="1"/>
  <c r="G501" i="1" s="1"/>
  <c r="F609" i="1"/>
  <c r="G609" i="1" s="1"/>
  <c r="F593" i="1"/>
  <c r="G593" i="1" s="1"/>
  <c r="F440" i="1"/>
  <c r="G440" i="1" s="1"/>
  <c r="F555" i="1"/>
  <c r="G555" i="1" s="1"/>
  <c r="F496" i="1"/>
  <c r="G496" i="1" s="1"/>
  <c r="F563" i="1"/>
  <c r="G563" i="1" s="1"/>
  <c r="F656" i="1"/>
  <c r="G656" i="1" s="1"/>
  <c r="F632" i="1"/>
  <c r="G632" i="1" s="1"/>
  <c r="F595" i="1"/>
  <c r="G595" i="1" s="1"/>
  <c r="F415" i="1"/>
  <c r="G415" i="1" s="1"/>
  <c r="F486" i="1"/>
  <c r="G486" i="1" s="1"/>
  <c r="F438" i="1"/>
  <c r="G438" i="1" s="1"/>
  <c r="F592" i="1"/>
  <c r="G592" i="1" s="1"/>
  <c r="F541" i="1"/>
  <c r="G541" i="1" s="1"/>
  <c r="F532" i="1"/>
  <c r="G532" i="1" s="1"/>
  <c r="F424" i="1"/>
  <c r="G424" i="1" s="1"/>
  <c r="F544" i="1"/>
  <c r="G544" i="1" s="1"/>
  <c r="F458" i="1"/>
  <c r="G458" i="1" s="1"/>
  <c r="F565" i="1"/>
  <c r="G565" i="1" s="1"/>
  <c r="F635" i="1"/>
  <c r="G635" i="1" s="1"/>
  <c r="F419" i="1"/>
  <c r="G419" i="1" s="1"/>
  <c r="F552" i="1"/>
  <c r="G552" i="1" s="1"/>
  <c r="F480" i="1"/>
  <c r="G480" i="1" s="1"/>
  <c r="F466" i="1"/>
  <c r="G466" i="1" s="1"/>
  <c r="F468" i="1"/>
  <c r="G468" i="1" s="1"/>
  <c r="F441" i="1"/>
  <c r="G441" i="1" s="1"/>
  <c r="F633" i="1"/>
  <c r="G633" i="1" s="1"/>
  <c r="F622" i="1"/>
  <c r="G622" i="1" s="1"/>
  <c r="F420" i="1"/>
  <c r="G420" i="1" s="1"/>
  <c r="F557" i="1"/>
  <c r="G557" i="1" s="1"/>
  <c r="F413" i="1"/>
  <c r="G413" i="1" s="1"/>
  <c r="F417" i="1"/>
  <c r="G417" i="1" s="1"/>
  <c r="F583" i="1"/>
  <c r="G583" i="1" s="1"/>
  <c r="F483" i="1"/>
  <c r="G483" i="1" s="1"/>
  <c r="F613" i="1"/>
  <c r="G613" i="1" s="1"/>
  <c r="F647" i="1"/>
  <c r="G647" i="1" s="1"/>
  <c r="F528" i="1"/>
  <c r="G528" i="1" s="1"/>
  <c r="F626" i="1"/>
  <c r="G626" i="1" s="1"/>
  <c r="F599" i="1"/>
  <c r="G599" i="1" s="1"/>
  <c r="F551" i="1"/>
  <c r="G551" i="1" s="1"/>
  <c r="F512" i="1"/>
  <c r="G512" i="1" s="1"/>
  <c r="F430" i="1"/>
  <c r="G430" i="1" s="1"/>
  <c r="F657" i="1"/>
  <c r="G657" i="1" s="1"/>
  <c r="F584" i="1"/>
  <c r="G584" i="1" s="1"/>
  <c r="F463" i="1"/>
  <c r="G463" i="1" s="1"/>
  <c r="F451" i="1"/>
  <c r="G451" i="1" s="1"/>
  <c r="F462" i="1"/>
  <c r="G462" i="1" s="1"/>
  <c r="F461" i="1"/>
  <c r="G461" i="1" s="1"/>
  <c r="F422" i="1"/>
  <c r="G422" i="1" s="1"/>
  <c r="F575" i="1"/>
  <c r="G575" i="1" s="1"/>
  <c r="F515" i="1"/>
  <c r="G515" i="1" s="1"/>
  <c r="F489" i="1"/>
  <c r="G489" i="1" s="1"/>
  <c r="F662" i="1"/>
  <c r="G662" i="1" s="1"/>
  <c r="F554" i="1"/>
  <c r="G554" i="1" s="1"/>
  <c r="F564" i="1"/>
  <c r="G564" i="1" s="1"/>
  <c r="F520" i="1"/>
  <c r="G520" i="1" s="1"/>
  <c r="F517" i="1"/>
  <c r="G517" i="1" s="1"/>
  <c r="F529" i="1"/>
  <c r="G529" i="1" s="1"/>
  <c r="F504" i="1"/>
  <c r="G504" i="1" s="1"/>
  <c r="F653" i="1"/>
  <c r="G653" i="1" s="1"/>
  <c r="F648" i="1"/>
  <c r="G648" i="1" s="1"/>
  <c r="F478" i="1"/>
  <c r="G478" i="1" s="1"/>
  <c r="F498" i="1"/>
  <c r="G498" i="1" s="1"/>
  <c r="F616" i="1"/>
  <c r="G616" i="1" s="1"/>
  <c r="F573" i="1"/>
  <c r="G573" i="1" s="1"/>
  <c r="F469" i="1"/>
  <c r="G469" i="1" s="1"/>
  <c r="F636" i="1"/>
  <c r="G636" i="1" s="1"/>
  <c r="F548" i="1"/>
  <c r="G548" i="1" s="1"/>
  <c r="F631" i="1"/>
  <c r="G631" i="1" s="1"/>
  <c r="F475" i="1"/>
  <c r="G475" i="1" s="1"/>
  <c r="F642" i="1"/>
  <c r="G642" i="1" s="1"/>
  <c r="F630" i="1"/>
  <c r="G630" i="1" s="1"/>
  <c r="F606" i="1"/>
  <c r="G606" i="1" s="1"/>
  <c r="F605" i="1"/>
  <c r="G605" i="1" s="1"/>
  <c r="F533" i="1"/>
  <c r="G533" i="1" s="1"/>
  <c r="F449" i="1"/>
  <c r="G449" i="1" s="1"/>
  <c r="F545" i="1"/>
  <c r="G545" i="1" s="1"/>
  <c r="F640" i="1"/>
  <c r="G640" i="1" s="1"/>
  <c r="F472" i="1"/>
  <c r="G472" i="1" s="1"/>
  <c r="F579" i="1"/>
  <c r="G579" i="1" s="1"/>
  <c r="F638" i="1"/>
  <c r="G638" i="1" s="1"/>
  <c r="F602" i="1"/>
  <c r="G602" i="1" s="1"/>
  <c r="F578" i="1"/>
  <c r="G578" i="1" s="1"/>
  <c r="F542" i="1"/>
  <c r="G542" i="1" s="1"/>
  <c r="F530" i="1"/>
  <c r="G530" i="1" s="1"/>
  <c r="F470" i="1"/>
  <c r="G470" i="1" s="1"/>
  <c r="F434" i="1"/>
  <c r="G434" i="1" s="1"/>
  <c r="F577" i="1"/>
  <c r="G577" i="1" s="1"/>
  <c r="F433" i="1"/>
  <c r="G433" i="1" s="1"/>
  <c r="F539" i="1"/>
  <c r="G539" i="1" s="1"/>
  <c r="F527" i="1"/>
  <c r="G527" i="1" s="1"/>
  <c r="F503" i="1"/>
  <c r="G503" i="1" s="1"/>
  <c r="F491" i="1"/>
  <c r="G491" i="1" s="1"/>
  <c r="F479" i="1"/>
  <c r="G479" i="1" s="1"/>
  <c r="F443" i="1"/>
  <c r="G443" i="1" s="1"/>
  <c r="F598" i="1"/>
  <c r="G598" i="1" s="1"/>
  <c r="F574" i="1"/>
  <c r="G574" i="1" s="1"/>
  <c r="F477" i="1"/>
  <c r="G477" i="1" s="1"/>
  <c r="F537" i="1"/>
  <c r="G537" i="1" s="1"/>
  <c r="F538" i="1"/>
  <c r="G538" i="1" s="1"/>
  <c r="F476" i="1"/>
  <c r="G476" i="1" s="1"/>
  <c r="F536" i="1"/>
  <c r="G536" i="1" s="1"/>
  <c r="F561" i="1"/>
  <c r="G561" i="1" s="1"/>
  <c r="F526" i="1"/>
  <c r="G526" i="1" s="1"/>
  <c r="F492" i="1"/>
  <c r="G492" i="1" s="1"/>
  <c r="F524" i="1"/>
  <c r="G524" i="1" s="1"/>
  <c r="F567" i="1"/>
  <c r="G567" i="1" s="1"/>
  <c r="F445" i="1"/>
  <c r="G445" i="1" s="1"/>
  <c r="F646" i="1"/>
  <c r="G646" i="1" s="1"/>
  <c r="F444" i="1"/>
  <c r="G444" i="1" s="1"/>
  <c r="F663" i="1"/>
  <c r="G663" i="1" s="1"/>
  <c r="F471" i="1"/>
  <c r="G471" i="1" s="1"/>
  <c r="F617" i="1"/>
  <c r="G617" i="1" s="1"/>
  <c r="F576" i="1"/>
  <c r="G576" i="1" s="1"/>
  <c r="F560" i="1"/>
  <c r="G560" i="1" s="1"/>
  <c r="F511" i="1"/>
  <c r="G511" i="1" s="1"/>
  <c r="F570" i="1"/>
  <c r="G570" i="1" s="1"/>
  <c r="F634" i="1"/>
  <c r="G634" i="1" s="1"/>
  <c r="F482" i="1"/>
  <c r="G482" i="1" s="1"/>
  <c r="F500" i="1"/>
  <c r="G500" i="1" s="1"/>
  <c r="F654" i="1"/>
  <c r="G654" i="1" s="1"/>
  <c r="F437" i="1"/>
  <c r="G437" i="1" s="1"/>
  <c r="F521" i="1"/>
  <c r="G521" i="1" s="1"/>
  <c r="F549" i="1"/>
  <c r="G549" i="1" s="1"/>
  <c r="F510" i="1"/>
  <c r="G510" i="1" s="1"/>
  <c r="F485" i="1"/>
  <c r="G485" i="1" s="1"/>
  <c r="F425" i="1"/>
  <c r="G425" i="1" s="1"/>
  <c r="F484" i="1"/>
  <c r="G484" i="1" s="1"/>
  <c r="F569" i="1"/>
  <c r="G569" i="1" s="1"/>
  <c r="F649" i="1"/>
  <c r="G649" i="1" s="1"/>
  <c r="F421" i="1"/>
  <c r="G421" i="1" s="1"/>
  <c r="F513" i="1"/>
  <c r="G513" i="1" s="1"/>
  <c r="F502" i="1"/>
  <c r="G502" i="1" s="1"/>
  <c r="F535" i="1"/>
  <c r="G535" i="1" s="1"/>
  <c r="F639" i="1"/>
  <c r="G639" i="1" s="1"/>
  <c r="F431" i="1"/>
  <c r="G431" i="1" s="1"/>
  <c r="F490" i="1"/>
  <c r="G490" i="1" s="1"/>
  <c r="F499" i="1"/>
  <c r="G499" i="1" s="1"/>
  <c r="F439" i="1"/>
  <c r="G439" i="1" s="1"/>
  <c r="F427" i="1"/>
  <c r="G427" i="1" s="1"/>
  <c r="F615" i="1"/>
  <c r="G615" i="1" s="1"/>
  <c r="F618" i="1"/>
  <c r="G618" i="1" s="1"/>
  <c r="F582" i="1"/>
  <c r="G582" i="1" s="1"/>
  <c r="F546" i="1"/>
  <c r="G546" i="1" s="1"/>
  <c r="F629" i="1"/>
  <c r="G629" i="1" s="1"/>
  <c r="F507" i="1"/>
  <c r="G507" i="1" s="1"/>
  <c r="F652" i="1"/>
  <c r="G652" i="1" s="1"/>
  <c r="F568" i="1"/>
  <c r="G568" i="1" s="1"/>
  <c r="F590" i="1"/>
  <c r="G590" i="1" s="1"/>
  <c r="F566" i="1"/>
  <c r="G566" i="1" s="1"/>
  <c r="F589" i="1"/>
  <c r="G589" i="1" s="1"/>
  <c r="F623" i="1"/>
  <c r="G623" i="1" s="1"/>
  <c r="F611" i="1"/>
  <c r="G611" i="1" s="1"/>
  <c r="F612" i="1"/>
  <c r="G612" i="1" s="1"/>
  <c r="F514" i="1"/>
  <c r="G514" i="1" s="1"/>
  <c r="F585" i="1"/>
  <c r="G585" i="1" s="1"/>
  <c r="F660" i="1"/>
  <c r="G660" i="1" s="1"/>
  <c r="F596" i="1"/>
  <c r="G596" i="1" s="1"/>
  <c r="F522" i="1"/>
  <c r="G522" i="1" s="1"/>
  <c r="F581" i="1"/>
  <c r="G581" i="1" s="1"/>
  <c r="F531" i="1"/>
  <c r="G531" i="1" s="1"/>
  <c r="F543" i="1"/>
  <c r="G543" i="1" s="1"/>
  <c r="F600" i="1"/>
  <c r="G600" i="1" s="1"/>
  <c r="F465" i="1"/>
  <c r="G465" i="1" s="1"/>
  <c r="F450" i="1"/>
  <c r="G450" i="1" s="1"/>
  <c r="F614" i="1"/>
  <c r="G614" i="1" s="1"/>
  <c r="F661" i="1"/>
  <c r="G661" i="1" s="1"/>
  <c r="F464" i="1"/>
  <c r="G464" i="1" s="1"/>
  <c r="F523" i="1"/>
  <c r="G523" i="1" s="1"/>
  <c r="F558" i="1"/>
  <c r="G558" i="1" s="1"/>
  <c r="F448" i="1"/>
  <c r="G448" i="1" s="1"/>
  <c r="F497" i="1"/>
  <c r="G497" i="1" s="1"/>
  <c r="F601" i="1"/>
  <c r="G601" i="1" s="1"/>
  <c r="F553" i="1"/>
  <c r="G553" i="1" s="1"/>
  <c r="F625" i="1"/>
  <c r="G625" i="1" s="1"/>
  <c r="F426" i="1"/>
  <c r="G426" i="1" s="1"/>
  <c r="F603" i="1"/>
  <c r="G603" i="1" s="1"/>
  <c r="F591" i="1"/>
  <c r="G591" i="1" s="1"/>
  <c r="F508" i="1"/>
  <c r="G508" i="1" s="1"/>
  <c r="F442" i="1"/>
  <c r="G442" i="1" s="1"/>
  <c r="F628" i="1"/>
  <c r="G628" i="1" s="1"/>
  <c r="F416" i="1"/>
  <c r="G416" i="1" s="1"/>
  <c r="F645" i="1"/>
  <c r="G645" i="1" s="1"/>
  <c r="F487" i="1"/>
  <c r="G487" i="1" s="1"/>
  <c r="F509" i="1"/>
  <c r="G509" i="1" s="1"/>
  <c r="F457" i="1"/>
  <c r="G457" i="1" s="1"/>
  <c r="F505" i="1"/>
  <c r="G505" i="1" s="1"/>
  <c r="F493" i="1"/>
  <c r="G493" i="1" s="1"/>
  <c r="F454" i="1"/>
  <c r="G454" i="1" s="1"/>
  <c r="F516" i="1"/>
  <c r="G516" i="1" s="1"/>
  <c r="F452" i="1"/>
  <c r="G452" i="1" s="1"/>
  <c r="F588" i="1"/>
  <c r="G588" i="1" s="1"/>
  <c r="F70" i="1"/>
  <c r="G70" i="1" s="1"/>
  <c r="F367" i="1"/>
  <c r="G367" i="1" s="1"/>
  <c r="F136" i="1"/>
  <c r="G136" i="1" s="1"/>
  <c r="F121" i="1"/>
  <c r="G121" i="1" s="1"/>
  <c r="F85" i="1"/>
  <c r="G85" i="1" s="1"/>
  <c r="F94" i="1"/>
  <c r="G94" i="1" s="1"/>
  <c r="F199" i="1"/>
  <c r="G199" i="1" s="1"/>
  <c r="F351" i="1"/>
  <c r="G351" i="1" s="1"/>
  <c r="F378" i="1"/>
  <c r="G378" i="1" s="1"/>
  <c r="F260" i="1"/>
  <c r="G260" i="1" s="1"/>
  <c r="F333" i="1"/>
  <c r="G333" i="1" s="1"/>
  <c r="F234" i="1"/>
  <c r="G234" i="1" s="1"/>
  <c r="F371" i="1"/>
  <c r="G371" i="1" s="1"/>
  <c r="F355" i="1"/>
  <c r="G355" i="1" s="1"/>
  <c r="F410" i="1"/>
  <c r="G410" i="1" s="1"/>
  <c r="F293" i="1"/>
  <c r="G293" i="1" s="1"/>
  <c r="F271" i="1"/>
  <c r="G271" i="1" s="1"/>
  <c r="F248" i="1"/>
  <c r="G248" i="1" s="1"/>
  <c r="F281" i="1"/>
  <c r="G281" i="1" s="1"/>
  <c r="F391" i="1"/>
  <c r="G391" i="1" s="1"/>
  <c r="F363" i="1"/>
  <c r="G363" i="1" s="1"/>
  <c r="F320" i="1"/>
  <c r="G320" i="1" s="1"/>
  <c r="F348" i="1"/>
  <c r="G348" i="1" s="1"/>
  <c r="F319" i="1"/>
  <c r="G319" i="1" s="1"/>
  <c r="F241" i="1"/>
  <c r="G241" i="1" s="1"/>
  <c r="F240" i="1"/>
  <c r="G240" i="1" s="1"/>
  <c r="F340" i="1"/>
  <c r="G340" i="1" s="1"/>
  <c r="F327" i="1"/>
  <c r="G327" i="1" s="1"/>
  <c r="F336" i="1"/>
  <c r="G336" i="1" s="1"/>
  <c r="F256" i="1"/>
  <c r="G256" i="1" s="1"/>
  <c r="F302" i="1"/>
  <c r="G302" i="1" s="1"/>
  <c r="F390" i="1"/>
  <c r="G390" i="1" s="1"/>
  <c r="F361" i="1"/>
  <c r="G361" i="1" s="1"/>
  <c r="F289" i="1"/>
  <c r="G289" i="1" s="1"/>
  <c r="F249" i="1"/>
  <c r="G249" i="1" s="1"/>
  <c r="F264" i="1"/>
  <c r="G264" i="1" s="1"/>
  <c r="F299" i="1"/>
  <c r="G299" i="1" s="1"/>
  <c r="F338" i="1"/>
  <c r="G338" i="1" s="1"/>
  <c r="F274" i="1"/>
  <c r="G274" i="1" s="1"/>
  <c r="F317" i="1"/>
  <c r="G317" i="1" s="1"/>
  <c r="F239" i="1"/>
  <c r="G239" i="1" s="1"/>
  <c r="F252" i="1"/>
  <c r="G252" i="1" s="1"/>
  <c r="F298" i="1"/>
  <c r="G298" i="1" s="1"/>
  <c r="F369" i="1"/>
  <c r="G369" i="1" s="1"/>
  <c r="F26" i="1"/>
  <c r="G26" i="1" s="1"/>
  <c r="F64" i="1"/>
  <c r="G64" i="1" s="1"/>
  <c r="F379" i="1"/>
  <c r="G379" i="1" s="1"/>
  <c r="F372" i="1"/>
  <c r="G372" i="1" s="1"/>
  <c r="F385" i="1"/>
  <c r="G385" i="1" s="1"/>
  <c r="F287" i="1"/>
  <c r="G287" i="1" s="1"/>
  <c r="F235" i="1"/>
  <c r="G235" i="1" s="1"/>
  <c r="F362" i="1"/>
  <c r="G362" i="1" s="1"/>
  <c r="F405" i="1"/>
  <c r="G405" i="1" s="1"/>
  <c r="F325" i="1"/>
  <c r="G325" i="1" s="1"/>
  <c r="F91" i="1"/>
  <c r="G91" i="1" s="1"/>
  <c r="F308" i="1"/>
  <c r="G308" i="1" s="1"/>
  <c r="F288" i="1"/>
  <c r="G288" i="1" s="1"/>
  <c r="F313" i="1"/>
  <c r="G313" i="1" s="1"/>
  <c r="F381" i="1"/>
  <c r="G381" i="1" s="1"/>
  <c r="F311" i="1"/>
  <c r="G311" i="1" s="1"/>
  <c r="F354" i="1"/>
  <c r="G354" i="1" s="1"/>
  <c r="F323" i="1"/>
  <c r="G323" i="1" s="1"/>
  <c r="F365" i="1"/>
  <c r="G365" i="1" s="1"/>
  <c r="F322" i="1"/>
  <c r="G322" i="1" s="1"/>
  <c r="F321" i="1"/>
  <c r="G321" i="1" s="1"/>
  <c r="F306" i="1"/>
  <c r="G306" i="1" s="1"/>
  <c r="F374" i="1"/>
  <c r="G374" i="1" s="1"/>
  <c r="F347" i="1"/>
  <c r="G347" i="1" s="1"/>
  <c r="F305" i="1"/>
  <c r="G305" i="1" s="1"/>
  <c r="F292" i="1"/>
  <c r="G292" i="1" s="1"/>
  <c r="F257" i="1"/>
  <c r="G257" i="1" s="1"/>
  <c r="F304" i="1"/>
  <c r="G304" i="1" s="1"/>
  <c r="F345" i="1"/>
  <c r="G345" i="1" s="1"/>
  <c r="F315" i="1"/>
  <c r="G315" i="1" s="1"/>
  <c r="F254" i="1"/>
  <c r="G254" i="1" s="1"/>
  <c r="F324" i="1"/>
  <c r="G324" i="1" s="1"/>
  <c r="F395" i="1"/>
  <c r="G395" i="1" s="1"/>
  <c r="F368" i="1"/>
  <c r="G368" i="1" s="1"/>
  <c r="F353" i="1"/>
  <c r="G353" i="1" s="1"/>
  <c r="F341" i="1"/>
  <c r="G341" i="1" s="1"/>
  <c r="F339" i="1"/>
  <c r="G339" i="1" s="1"/>
  <c r="F335" i="1"/>
  <c r="G335" i="1" s="1"/>
  <c r="F301" i="1"/>
  <c r="G301" i="1" s="1"/>
  <c r="F300" i="1"/>
  <c r="G300" i="1" s="1"/>
  <c r="F396" i="1"/>
  <c r="G396" i="1" s="1"/>
  <c r="F258" i="1"/>
  <c r="G258" i="1" s="1"/>
  <c r="F282" i="1"/>
  <c r="G282" i="1" s="1"/>
  <c r="F373" i="1"/>
  <c r="G373" i="1" s="1"/>
  <c r="F392" i="1"/>
  <c r="G392" i="1" s="1"/>
  <c r="F349" i="1"/>
  <c r="G349" i="1" s="1"/>
  <c r="F370" i="1"/>
  <c r="G370" i="1" s="1"/>
  <c r="F352" i="1"/>
  <c r="G352" i="1" s="1"/>
  <c r="F307" i="1"/>
  <c r="G307" i="1" s="1"/>
  <c r="F389" i="1"/>
  <c r="G389" i="1" s="1"/>
  <c r="F330" i="1"/>
  <c r="G330" i="1" s="1"/>
  <c r="F238" i="1"/>
  <c r="G238" i="1" s="1"/>
  <c r="F406" i="1"/>
  <c r="G406" i="1" s="1"/>
  <c r="F404" i="1"/>
  <c r="G404" i="1" s="1"/>
  <c r="F350" i="1"/>
  <c r="G350" i="1" s="1"/>
  <c r="F294" i="1"/>
  <c r="G294" i="1" s="1"/>
  <c r="F244" i="1"/>
  <c r="G244" i="1" s="1"/>
  <c r="F334" i="1"/>
  <c r="G334" i="1" s="1"/>
  <c r="F273" i="1"/>
  <c r="G273" i="1" s="1"/>
  <c r="F255" i="1"/>
  <c r="G255" i="1" s="1"/>
  <c r="F314" i="1"/>
  <c r="G314" i="1" s="1"/>
  <c r="F384" i="1"/>
  <c r="G384" i="1" s="1"/>
  <c r="F267" i="1"/>
  <c r="G267" i="1" s="1"/>
  <c r="F407" i="1"/>
  <c r="G407" i="1" s="1"/>
  <c r="F331" i="1"/>
  <c r="G331" i="1" s="1"/>
  <c r="F344" i="1"/>
  <c r="G344" i="1" s="1"/>
  <c r="F296" i="1"/>
  <c r="G296" i="1" s="1"/>
  <c r="F247" i="1"/>
  <c r="G247" i="1" s="1"/>
  <c r="F386" i="1"/>
  <c r="G386" i="1" s="1"/>
  <c r="F356" i="1"/>
  <c r="G356" i="1" s="1"/>
  <c r="F398" i="1"/>
  <c r="G398" i="1" s="1"/>
  <c r="F253" i="1"/>
  <c r="G253" i="1" s="1"/>
  <c r="F251" i="1"/>
  <c r="G251" i="1" s="1"/>
  <c r="F346" i="1"/>
  <c r="G346" i="1" s="1"/>
  <c r="F270" i="1"/>
  <c r="G270" i="1" s="1"/>
  <c r="F343" i="1"/>
  <c r="G343" i="1" s="1"/>
  <c r="F297" i="1"/>
  <c r="G297" i="1" s="1"/>
  <c r="F295" i="1"/>
  <c r="G295" i="1" s="1"/>
  <c r="F261" i="1"/>
  <c r="G261" i="1" s="1"/>
  <c r="F279" i="1"/>
  <c r="G279" i="1" s="1"/>
  <c r="F245" i="1"/>
  <c r="G245" i="1" s="1"/>
  <c r="F388" i="1"/>
  <c r="G388" i="1" s="1"/>
  <c r="F387" i="1"/>
  <c r="G387" i="1" s="1"/>
  <c r="F283" i="1"/>
  <c r="G283" i="1" s="1"/>
  <c r="F402" i="1"/>
  <c r="G402" i="1" s="1"/>
  <c r="F328" i="1"/>
  <c r="G328" i="1" s="1"/>
  <c r="F286" i="1"/>
  <c r="G286" i="1" s="1"/>
  <c r="F284" i="1"/>
  <c r="G284" i="1" s="1"/>
  <c r="F269" i="1"/>
  <c r="G269" i="1" s="1"/>
  <c r="F408" i="1"/>
  <c r="G408" i="1" s="1"/>
  <c r="F278" i="1"/>
  <c r="G278" i="1" s="1"/>
  <c r="F358" i="1"/>
  <c r="G358" i="1" s="1"/>
  <c r="F394" i="1"/>
  <c r="G394" i="1" s="1"/>
  <c r="F310" i="1"/>
  <c r="G310" i="1" s="1"/>
  <c r="F360" i="1"/>
  <c r="G360" i="1" s="1"/>
  <c r="F403" i="1"/>
  <c r="G403" i="1" s="1"/>
  <c r="F272" i="1"/>
  <c r="G272" i="1" s="1"/>
  <c r="F242" i="1"/>
  <c r="G242" i="1" s="1"/>
  <c r="F380" i="1"/>
  <c r="G380" i="1" s="1"/>
  <c r="F60" i="1"/>
  <c r="G60" i="1" s="1"/>
  <c r="F376" i="1"/>
  <c r="G376" i="1" s="1"/>
  <c r="F412" i="1"/>
  <c r="G412" i="1" s="1"/>
  <c r="F337" i="1"/>
  <c r="G337" i="1" s="1"/>
  <c r="F382" i="1"/>
  <c r="G382" i="1" s="1"/>
  <c r="F364" i="1"/>
  <c r="G364" i="1" s="1"/>
  <c r="F280" i="1"/>
  <c r="G280" i="1" s="1"/>
  <c r="F268" i="1"/>
  <c r="G268" i="1" s="1"/>
  <c r="F246" i="1"/>
  <c r="G246" i="1" s="1"/>
  <c r="F401" i="1"/>
  <c r="G401" i="1" s="1"/>
  <c r="F263" i="1"/>
  <c r="G263" i="1" s="1"/>
  <c r="F399" i="1"/>
  <c r="G399" i="1" s="1"/>
  <c r="F266" i="1"/>
  <c r="G266" i="1" s="1"/>
  <c r="F409" i="1"/>
  <c r="G409" i="1" s="1"/>
  <c r="F397" i="1"/>
  <c r="G397" i="1" s="1"/>
  <c r="F276" i="1"/>
  <c r="G276" i="1" s="1"/>
  <c r="F357" i="1"/>
  <c r="G357" i="1" s="1"/>
  <c r="F359" i="1"/>
  <c r="G359" i="1" s="1"/>
  <c r="F265" i="1"/>
  <c r="G265" i="1" s="1"/>
  <c r="F326" i="1"/>
  <c r="G326" i="1" s="1"/>
  <c r="F250" i="1"/>
  <c r="G250" i="1" s="1"/>
  <c r="F262" i="1"/>
  <c r="G262" i="1" s="1"/>
  <c r="F236" i="1"/>
  <c r="G236" i="1" s="1"/>
  <c r="F291" i="1"/>
  <c r="G291" i="1" s="1"/>
  <c r="F383" i="1"/>
  <c r="G383" i="1" s="1"/>
  <c r="F285" i="1"/>
  <c r="G285" i="1" s="1"/>
  <c r="F259" i="1"/>
  <c r="G259" i="1" s="1"/>
  <c r="F329" i="1"/>
  <c r="G329" i="1" s="1"/>
  <c r="F237" i="1"/>
  <c r="G237" i="1" s="1"/>
  <c r="F332" i="1"/>
  <c r="G332" i="1" s="1"/>
  <c r="F316" i="1"/>
  <c r="G316" i="1" s="1"/>
  <c r="F277" i="1"/>
  <c r="G277" i="1" s="1"/>
  <c r="F309" i="1"/>
  <c r="G309" i="1" s="1"/>
  <c r="F128" i="1"/>
  <c r="G128" i="1" s="1"/>
  <c r="F115" i="1"/>
  <c r="G115" i="1" s="1"/>
  <c r="F120" i="1"/>
  <c r="G120" i="1" s="1"/>
  <c r="F203" i="1"/>
  <c r="G203" i="1" s="1"/>
  <c r="F186" i="1"/>
  <c r="G186" i="1" s="1"/>
  <c r="F15" i="1"/>
  <c r="G15" i="1" s="1"/>
  <c r="F218" i="1"/>
  <c r="G218" i="1" s="1"/>
  <c r="F97" i="1"/>
  <c r="G97" i="1" s="1"/>
  <c r="F190" i="1"/>
  <c r="G190" i="1" s="1"/>
  <c r="F69" i="1"/>
  <c r="G69" i="1" s="1"/>
  <c r="F213" i="1"/>
  <c r="G213" i="1" s="1"/>
  <c r="F200" i="1"/>
  <c r="G200" i="1" s="1"/>
  <c r="F188" i="1"/>
  <c r="G188" i="1" s="1"/>
  <c r="F68" i="1"/>
  <c r="G68" i="1" s="1"/>
  <c r="F210" i="1"/>
  <c r="G210" i="1" s="1"/>
  <c r="F233" i="1"/>
  <c r="G233" i="1" s="1"/>
  <c r="F99" i="1"/>
  <c r="G99" i="1" s="1"/>
  <c r="F110" i="1"/>
  <c r="G110" i="1" s="1"/>
  <c r="F96" i="1"/>
  <c r="G96" i="1" s="1"/>
  <c r="F24" i="1"/>
  <c r="G24" i="1" s="1"/>
  <c r="F142" i="1"/>
  <c r="G142" i="1" s="1"/>
  <c r="F89" i="1"/>
  <c r="G89" i="1" s="1"/>
  <c r="F211" i="1"/>
  <c r="G211" i="1" s="1"/>
  <c r="F28" i="1"/>
  <c r="G28" i="1" s="1"/>
  <c r="F185" i="1"/>
  <c r="G185" i="1" s="1"/>
  <c r="F192" i="1"/>
  <c r="G192" i="1" s="1"/>
  <c r="F23" i="1"/>
  <c r="G23" i="1" s="1"/>
  <c r="F92" i="1"/>
  <c r="G92" i="1" s="1"/>
  <c r="F20" i="1"/>
  <c r="G20" i="1" s="1"/>
  <c r="F198" i="1"/>
  <c r="G198" i="1" s="1"/>
  <c r="F196" i="1"/>
  <c r="G196" i="1" s="1"/>
  <c r="F195" i="1"/>
  <c r="G195" i="1" s="1"/>
  <c r="F7" i="1"/>
  <c r="G7" i="1" s="1"/>
  <c r="F168" i="1"/>
  <c r="G168" i="1" s="1"/>
  <c r="F156" i="1"/>
  <c r="G156" i="1" s="1"/>
  <c r="F167" i="1"/>
  <c r="G167" i="1" s="1"/>
  <c r="F10" i="1"/>
  <c r="G10" i="1" s="1"/>
  <c r="F165" i="1"/>
  <c r="G165" i="1" s="1"/>
  <c r="F221" i="1"/>
  <c r="G221" i="1" s="1"/>
  <c r="F173" i="1"/>
  <c r="G173" i="1" s="1"/>
  <c r="F171" i="1"/>
  <c r="G171" i="1" s="1"/>
  <c r="F206" i="1"/>
  <c r="G206" i="1" s="1"/>
  <c r="F65" i="1"/>
  <c r="G65" i="1" s="1"/>
  <c r="F207" i="1"/>
  <c r="G207" i="1" s="1"/>
  <c r="F145" i="1"/>
  <c r="G145" i="1" s="1"/>
  <c r="F226" i="1"/>
  <c r="G226" i="1" s="1"/>
  <c r="F118" i="1"/>
  <c r="G118" i="1" s="1"/>
  <c r="F57" i="1"/>
  <c r="G57" i="1" s="1"/>
  <c r="F104" i="1"/>
  <c r="G104" i="1" s="1"/>
  <c r="F56" i="1"/>
  <c r="G56" i="1" s="1"/>
  <c r="F209" i="1"/>
  <c r="G209" i="1" s="1"/>
  <c r="F161" i="1"/>
  <c r="G161" i="1" s="1"/>
  <c r="F101" i="1"/>
  <c r="G101" i="1" s="1"/>
  <c r="F208" i="1"/>
  <c r="G208" i="1" s="1"/>
  <c r="F100" i="1"/>
  <c r="G100" i="1" s="1"/>
  <c r="F159" i="1"/>
  <c r="G159" i="1" s="1"/>
  <c r="F135" i="1"/>
  <c r="G135" i="1" s="1"/>
  <c r="F134" i="1"/>
  <c r="G134" i="1" s="1"/>
  <c r="F122" i="1"/>
  <c r="G122" i="1" s="1"/>
  <c r="F66" i="1"/>
  <c r="G66" i="1" s="1"/>
  <c r="F151" i="1"/>
  <c r="G151" i="1" s="1"/>
  <c r="F227" i="1"/>
  <c r="G227" i="1" s="1"/>
  <c r="F33" i="1"/>
  <c r="G33" i="1" s="1"/>
  <c r="F223" i="1"/>
  <c r="G223" i="1" s="1"/>
  <c r="F30" i="1"/>
  <c r="G30" i="1" s="1"/>
  <c r="F78" i="1"/>
  <c r="G78" i="1" s="1"/>
  <c r="F202" i="1"/>
  <c r="G202" i="1" s="1"/>
  <c r="F123" i="1"/>
  <c r="G123" i="1" s="1"/>
  <c r="F179" i="1"/>
  <c r="G179" i="1" s="1"/>
  <c r="F47" i="1"/>
  <c r="G47" i="1" s="1"/>
  <c r="F103" i="1"/>
  <c r="G103" i="1" s="1"/>
  <c r="F109" i="1"/>
  <c r="G109" i="1" s="1"/>
  <c r="F180" i="1"/>
  <c r="G180" i="1" s="1"/>
  <c r="F71" i="1"/>
  <c r="G71" i="1" s="1"/>
  <c r="F46" i="1"/>
  <c r="G46" i="1" s="1"/>
  <c r="F201" i="1"/>
  <c r="G201" i="1" s="1"/>
  <c r="F76" i="1"/>
  <c r="G76" i="1" s="1"/>
  <c r="F62" i="1"/>
  <c r="G62" i="1" s="1"/>
  <c r="F73" i="1"/>
  <c r="G73" i="1" s="1"/>
  <c r="F55" i="1"/>
  <c r="G55" i="1" s="1"/>
  <c r="F228" i="1"/>
  <c r="G228" i="1" s="1"/>
  <c r="F174" i="1"/>
  <c r="G174" i="1" s="1"/>
  <c r="F102" i="1"/>
  <c r="G102" i="1" s="1"/>
  <c r="F41" i="1"/>
  <c r="G41" i="1" s="1"/>
  <c r="F181" i="1"/>
  <c r="G181" i="1" s="1"/>
  <c r="F116" i="1"/>
  <c r="G116" i="1" s="1"/>
  <c r="F183" i="1"/>
  <c r="G183" i="1" s="1"/>
  <c r="F147" i="1"/>
  <c r="G147" i="1" s="1"/>
  <c r="F48" i="1"/>
  <c r="G48" i="1" s="1"/>
  <c r="F150" i="1"/>
  <c r="G150" i="1" s="1"/>
  <c r="F75" i="1"/>
  <c r="G75" i="1" s="1"/>
  <c r="F4" i="1"/>
  <c r="G4" i="1" s="1"/>
  <c r="F216" i="1"/>
  <c r="G216" i="1" s="1"/>
  <c r="F82" i="1"/>
  <c r="G82" i="1" s="1"/>
  <c r="F50" i="1"/>
  <c r="G50" i="1" s="1"/>
  <c r="F49" i="1"/>
  <c r="G49" i="1" s="1"/>
  <c r="F105" i="1"/>
  <c r="G105" i="1" s="1"/>
  <c r="F51" i="1"/>
  <c r="G51" i="1" s="1"/>
  <c r="F164" i="1"/>
  <c r="G164" i="1" s="1"/>
  <c r="F163" i="1"/>
  <c r="G163" i="1" s="1"/>
  <c r="F175" i="1"/>
  <c r="G175" i="1" s="1"/>
  <c r="F117" i="1"/>
  <c r="G117" i="1" s="1"/>
  <c r="F169" i="1"/>
  <c r="G169" i="1" s="1"/>
  <c r="F166" i="1"/>
  <c r="G166" i="1" s="1"/>
  <c r="F114" i="1"/>
  <c r="G114" i="1" s="1"/>
  <c r="F18" i="1"/>
  <c r="G18" i="1" s="1"/>
  <c r="F127" i="1"/>
  <c r="G127" i="1" s="1"/>
  <c r="F17" i="1"/>
  <c r="G17" i="1" s="1"/>
  <c r="F222" i="1"/>
  <c r="G222" i="1" s="1"/>
  <c r="F230" i="1"/>
  <c r="G230" i="1" s="1"/>
  <c r="F25" i="1"/>
  <c r="G25" i="1" s="1"/>
  <c r="F157" i="1"/>
  <c r="G157" i="1" s="1"/>
  <c r="F204" i="1"/>
  <c r="G204" i="1" s="1"/>
  <c r="F107" i="1"/>
  <c r="G107" i="1" s="1"/>
  <c r="F83" i="1"/>
  <c r="G83" i="1" s="1"/>
  <c r="F58" i="1"/>
  <c r="G58" i="1" s="1"/>
  <c r="F129" i="1"/>
  <c r="G129" i="1" s="1"/>
  <c r="F44" i="1"/>
  <c r="G44" i="1" s="1"/>
  <c r="F32" i="1"/>
  <c r="G32" i="1" s="1"/>
  <c r="F138" i="1"/>
  <c r="G138" i="1" s="1"/>
  <c r="F197" i="1"/>
  <c r="G197" i="1" s="1"/>
  <c r="F231" i="1"/>
  <c r="G231" i="1" s="1"/>
  <c r="F87" i="1"/>
  <c r="G87" i="1" s="1"/>
  <c r="F16" i="1"/>
  <c r="G16" i="1" s="1"/>
  <c r="F12" i="1"/>
  <c r="G12" i="1" s="1"/>
  <c r="F40" i="1"/>
  <c r="G40" i="1" s="1"/>
  <c r="F36" i="1"/>
  <c r="G36" i="1" s="1"/>
  <c r="F191" i="1"/>
  <c r="G191" i="1" s="1"/>
  <c r="F141" i="1"/>
  <c r="G141" i="1" s="1"/>
  <c r="F176" i="1"/>
  <c r="G176" i="1" s="1"/>
  <c r="F232" i="1"/>
  <c r="G232" i="1" s="1"/>
  <c r="F90" i="1"/>
  <c r="G90" i="1" s="1"/>
  <c r="F229" i="1"/>
  <c r="G229" i="1" s="1"/>
  <c r="F220" i="1"/>
  <c r="G220" i="1" s="1"/>
  <c r="F124" i="1"/>
  <c r="G124" i="1" s="1"/>
  <c r="F6" i="1"/>
  <c r="G6" i="1" s="1"/>
  <c r="F13" i="1"/>
  <c r="G13" i="1" s="1"/>
  <c r="F22" i="1"/>
  <c r="G22" i="1" s="1"/>
  <c r="F152" i="1"/>
  <c r="G152" i="1" s="1"/>
  <c r="F149" i="1"/>
  <c r="G149" i="1" s="1"/>
  <c r="F5" i="1"/>
  <c r="G5" i="1" s="1"/>
  <c r="F19" i="1"/>
  <c r="G19" i="1" s="1"/>
  <c r="F160" i="1"/>
  <c r="G160" i="1" s="1"/>
  <c r="F27" i="1"/>
  <c r="G27" i="1" s="1"/>
  <c r="F193" i="1"/>
  <c r="G193" i="1" s="1"/>
  <c r="F61" i="1"/>
  <c r="G61" i="1" s="1"/>
  <c r="F131" i="1"/>
  <c r="G131" i="1" s="1"/>
  <c r="F137" i="1"/>
  <c r="G137" i="1" s="1"/>
  <c r="F219" i="1"/>
  <c r="G219" i="1" s="1"/>
  <c r="F53" i="1"/>
  <c r="G53" i="1" s="1"/>
  <c r="F95" i="1"/>
  <c r="G95" i="1" s="1"/>
  <c r="F93" i="1"/>
  <c r="G93" i="1" s="1"/>
  <c r="F11" i="1"/>
  <c r="G11" i="1" s="1"/>
  <c r="F154" i="1"/>
  <c r="G154" i="1" s="1"/>
  <c r="F153" i="1"/>
  <c r="G153" i="1" s="1"/>
  <c r="F45" i="1"/>
  <c r="G45" i="1" s="1"/>
  <c r="F148" i="1"/>
  <c r="G148" i="1" s="1"/>
  <c r="F88" i="1"/>
  <c r="G88" i="1" s="1"/>
  <c r="F3" i="1"/>
  <c r="G3" i="1" s="1"/>
  <c r="F146" i="1"/>
  <c r="G146" i="1" s="1"/>
  <c r="F189" i="1"/>
  <c r="G189" i="1" s="1"/>
  <c r="F86" i="1"/>
  <c r="G86" i="1" s="1"/>
  <c r="F217" i="1"/>
  <c r="G217" i="1" s="1"/>
  <c r="F84" i="1"/>
  <c r="G84" i="1" s="1"/>
  <c r="F215" i="1"/>
  <c r="G215" i="1" s="1"/>
  <c r="F106" i="1"/>
  <c r="G106" i="1" s="1"/>
  <c r="F34" i="1"/>
  <c r="G34" i="1" s="1"/>
  <c r="F225" i="1"/>
  <c r="G225" i="1" s="1"/>
  <c r="F224" i="1"/>
  <c r="G224" i="1" s="1"/>
  <c r="F184" i="1"/>
  <c r="G184" i="1" s="1"/>
  <c r="F172" i="1"/>
  <c r="G172" i="1" s="1"/>
  <c r="F111" i="1"/>
  <c r="G111" i="1" s="1"/>
  <c r="F182" i="1"/>
  <c r="G182" i="1" s="1"/>
  <c r="F170" i="1"/>
  <c r="G170" i="1" s="1"/>
  <c r="F38" i="1"/>
  <c r="G38" i="1" s="1"/>
  <c r="F79" i="1"/>
  <c r="G79" i="1" s="1"/>
  <c r="F42" i="1"/>
  <c r="G42" i="1" s="1"/>
  <c r="F133" i="1"/>
  <c r="G133" i="1" s="1"/>
  <c r="F144" i="1"/>
  <c r="G144" i="1" s="1"/>
  <c r="F132" i="1"/>
  <c r="G132" i="1" s="1"/>
  <c r="F155" i="1"/>
  <c r="G155" i="1" s="1"/>
  <c r="F21" i="1"/>
  <c r="G21" i="1" s="1"/>
  <c r="F177" i="1"/>
  <c r="G177" i="1" s="1"/>
  <c r="F112" i="1"/>
  <c r="G112" i="1" s="1"/>
  <c r="F98" i="1"/>
  <c r="G98" i="1" s="1"/>
  <c r="F205" i="1"/>
  <c r="G205" i="1" s="1"/>
  <c r="F130" i="1"/>
  <c r="G130" i="1" s="1"/>
  <c r="F9" i="1"/>
  <c r="G9" i="1" s="1"/>
  <c r="F35" i="1"/>
  <c r="G35" i="1" s="1"/>
  <c r="F125" i="1"/>
  <c r="G125" i="1" s="1"/>
  <c r="F39" i="1"/>
  <c r="G39" i="1" s="1"/>
  <c r="F37" i="1"/>
  <c r="G37" i="1" s="1"/>
  <c r="F54" i="1"/>
  <c r="G54" i="1" s="1"/>
  <c r="F214" i="1"/>
  <c r="G214" i="1" s="1"/>
  <c r="F81" i="1"/>
  <c r="G81" i="1" s="1"/>
  <c r="F212" i="1"/>
  <c r="G212" i="1" s="1"/>
  <c r="F80" i="1"/>
  <c r="G80" i="1" s="1"/>
  <c r="F72" i="1"/>
  <c r="G72" i="1" s="1"/>
  <c r="F139" i="1"/>
  <c r="G139" i="1" s="1"/>
  <c r="F2" i="1"/>
  <c r="G2" i="1" s="1"/>
  <c r="G1488" i="1"/>
  <c r="G1546" i="1"/>
  <c r="G1459" i="1"/>
  <c r="G1478" i="1"/>
  <c r="G1499" i="1"/>
  <c r="G1505" i="1"/>
  <c r="G1607" i="1"/>
  <c r="G1450" i="1"/>
  <c r="G1626" i="1"/>
  <c r="G1531" i="1"/>
  <c r="G1424" i="1"/>
  <c r="G1532" i="1"/>
  <c r="G1548" i="1"/>
  <c r="G1606" i="1"/>
  <c r="G1628" i="1"/>
  <c r="G1634" i="1"/>
  <c r="G1427" i="1"/>
  <c r="G1479" i="1"/>
  <c r="G1500" i="1"/>
  <c r="G1506" i="1"/>
  <c r="G1473" i="1"/>
  <c r="G1480" i="1"/>
  <c r="G1483" i="1"/>
  <c r="G1498" i="1"/>
  <c r="G1504" i="1"/>
  <c r="G1455" i="1"/>
  <c r="G1528" i="1"/>
  <c r="G1572" i="1"/>
  <c r="G1636" i="1"/>
  <c r="G1616" i="1"/>
  <c r="G1465" i="1"/>
  <c r="G1529" i="1"/>
  <c r="G1481" i="1"/>
  <c r="G1558" i="1"/>
  <c r="G1617" i="1"/>
  <c r="G1474" i="1"/>
  <c r="G1525" i="1"/>
  <c r="G1437" i="1"/>
  <c r="G1441" i="1"/>
  <c r="G1599" i="1"/>
  <c r="G1453" i="1"/>
  <c r="G1436" i="1"/>
  <c r="G1449" i="1"/>
  <c r="G1492" i="1"/>
  <c r="G1576" i="1"/>
  <c r="G1613" i="1"/>
  <c r="G1477" i="1"/>
  <c r="G1502" i="1"/>
  <c r="G1508" i="1"/>
  <c r="G1523" i="1"/>
  <c r="G1590" i="1"/>
  <c r="G1597" i="1"/>
  <c r="G1603" i="1"/>
  <c r="G1631" i="1"/>
  <c r="G1549" i="1"/>
  <c r="G1491" i="1"/>
  <c r="G1503" i="1"/>
  <c r="G1536" i="1"/>
  <c r="G1563" i="1"/>
  <c r="G1604" i="1"/>
  <c r="G1440" i="1"/>
  <c r="G1530" i="1"/>
  <c r="G1557" i="1"/>
  <c r="G1454" i="1"/>
  <c r="G1512" i="1"/>
  <c r="G1526" i="1"/>
  <c r="G1552" i="1"/>
  <c r="G1573" i="1"/>
  <c r="G1614" i="1"/>
  <c r="G1469" i="1"/>
  <c r="G1494" i="1"/>
  <c r="G1513" i="1"/>
  <c r="G1521" i="1"/>
  <c r="G1527" i="1"/>
  <c r="G1553" i="1"/>
  <c r="G1566" i="1"/>
  <c r="G1629" i="1"/>
  <c r="G1540" i="1"/>
  <c r="G1470" i="1"/>
  <c r="G1495" i="1"/>
  <c r="G1514" i="1"/>
  <c r="G1582" i="1"/>
  <c r="G1589" i="1"/>
  <c r="G1596" i="1"/>
  <c r="G1602" i="1"/>
  <c r="G1445" i="1"/>
  <c r="G1489" i="1"/>
  <c r="G1622" i="1"/>
  <c r="G1439" i="1"/>
  <c r="G1496" i="1"/>
  <c r="G1501" i="1"/>
  <c r="G1524" i="1"/>
  <c r="G1547" i="1"/>
  <c r="G1565" i="1"/>
  <c r="G1456" i="1"/>
  <c r="G1554" i="1"/>
  <c r="G1591" i="1"/>
  <c r="G1598" i="1"/>
  <c r="G1623" i="1"/>
  <c r="G1635" i="1"/>
  <c r="G1428" i="1"/>
  <c r="G1447" i="1"/>
  <c r="G1452" i="1"/>
  <c r="G1535" i="1"/>
  <c r="G1555" i="1"/>
  <c r="G1560" i="1"/>
  <c r="G1578" i="1"/>
  <c r="G1586" i="1"/>
  <c r="G1592" i="1"/>
  <c r="G1630" i="1"/>
  <c r="G1625" i="1"/>
  <c r="G1544" i="1"/>
  <c r="G1579" i="1"/>
  <c r="G1587" i="1"/>
  <c r="G1600" i="1"/>
  <c r="G1637" i="1"/>
  <c r="G1493" i="1"/>
  <c r="G1562" i="1"/>
  <c r="G1443" i="1"/>
  <c r="G1471" i="1"/>
  <c r="G1515" i="1"/>
  <c r="G1545" i="1"/>
  <c r="G1551" i="1"/>
  <c r="G1574" i="1"/>
  <c r="G1588" i="1"/>
  <c r="G1601" i="1"/>
  <c r="G1638" i="1"/>
  <c r="G1632" i="1"/>
  <c r="G1460" i="1"/>
  <c r="G1472" i="1"/>
  <c r="G1516" i="1"/>
  <c r="G1539" i="1"/>
  <c r="G1608" i="1"/>
  <c r="G1627" i="1"/>
  <c r="G1633" i="1"/>
  <c r="G1426" i="1"/>
  <c r="G1432" i="1"/>
  <c r="G1438" i="1"/>
  <c r="G1564" i="1"/>
  <c r="G1615" i="1"/>
  <c r="G1446" i="1"/>
  <c r="G1444" i="1"/>
</calcChain>
</file>

<file path=xl/sharedStrings.xml><?xml version="1.0" encoding="utf-8"?>
<sst xmlns="http://schemas.openxmlformats.org/spreadsheetml/2006/main" count="6707" uniqueCount="345">
  <si>
    <t>납품일</t>
    <phoneticPr fontId="3" type="noConversion"/>
  </si>
  <si>
    <t>부대명</t>
    <phoneticPr fontId="3" type="noConversion"/>
  </si>
  <si>
    <t>품목</t>
    <phoneticPr fontId="3" type="noConversion"/>
  </si>
  <si>
    <t>수량</t>
    <phoneticPr fontId="3" type="noConversion"/>
  </si>
  <si>
    <t>01월 01일</t>
    <phoneticPr fontId="5" type="noConversion"/>
  </si>
  <si>
    <t>12급양대</t>
    <phoneticPr fontId="5" type="noConversion"/>
  </si>
  <si>
    <t>큐브족발</t>
    <phoneticPr fontId="5" type="noConversion"/>
  </si>
  <si>
    <t>01월 02일</t>
    <phoneticPr fontId="5" type="noConversion"/>
  </si>
  <si>
    <t>동해안급양대</t>
    <phoneticPr fontId="5" type="noConversion"/>
  </si>
  <si>
    <t>동파육</t>
    <phoneticPr fontId="5" type="noConversion"/>
  </si>
  <si>
    <t>꼬리곰탕</t>
    <phoneticPr fontId="5" type="noConversion"/>
  </si>
  <si>
    <t>5사단</t>
    <phoneticPr fontId="5" type="noConversion"/>
  </si>
  <si>
    <t>채수소불고기</t>
    <phoneticPr fontId="5" type="noConversion"/>
  </si>
  <si>
    <t>삼겹수육</t>
    <phoneticPr fontId="5" type="noConversion"/>
  </si>
  <si>
    <t>9사단</t>
    <phoneticPr fontId="5" type="noConversion"/>
  </si>
  <si>
    <t>코주부어묵(볼)</t>
    <phoneticPr fontId="5" type="noConversion"/>
  </si>
  <si>
    <t>5급양대</t>
    <phoneticPr fontId="5" type="noConversion"/>
  </si>
  <si>
    <t>콩두부</t>
    <phoneticPr fontId="5" type="noConversion"/>
  </si>
  <si>
    <t>해병군수단</t>
    <phoneticPr fontId="5" type="noConversion"/>
  </si>
  <si>
    <t>12사단</t>
    <phoneticPr fontId="5" type="noConversion"/>
  </si>
  <si>
    <t>가마보꼬</t>
    <phoneticPr fontId="5" type="noConversion"/>
  </si>
  <si>
    <t>1급양대</t>
    <phoneticPr fontId="5" type="noConversion"/>
  </si>
  <si>
    <t>채어묵</t>
    <phoneticPr fontId="5" type="noConversion"/>
  </si>
  <si>
    <t>51군지단</t>
    <phoneticPr fontId="5" type="noConversion"/>
  </si>
  <si>
    <t>3급양대</t>
    <phoneticPr fontId="5" type="noConversion"/>
  </si>
  <si>
    <t>25사단</t>
    <phoneticPr fontId="5" type="noConversion"/>
  </si>
  <si>
    <t>돼지불고기(간장)</t>
    <phoneticPr fontId="5" type="noConversion"/>
  </si>
  <si>
    <t>6급양대</t>
    <phoneticPr fontId="5" type="noConversion"/>
  </si>
  <si>
    <t>계란말이(맛살)</t>
    <phoneticPr fontId="5" type="noConversion"/>
  </si>
  <si>
    <t>55사단</t>
    <phoneticPr fontId="5" type="noConversion"/>
  </si>
  <si>
    <t>7급양대</t>
    <phoneticPr fontId="5" type="noConversion"/>
  </si>
  <si>
    <t>21사단</t>
    <phoneticPr fontId="5" type="noConversion"/>
  </si>
  <si>
    <t>사각꼬지어묵(600g)</t>
    <phoneticPr fontId="5" type="noConversion"/>
  </si>
  <si>
    <t>수기사</t>
    <phoneticPr fontId="5" type="noConversion"/>
  </si>
  <si>
    <t>01월 05일</t>
    <phoneticPr fontId="5" type="noConversion"/>
  </si>
  <si>
    <t>꽃맛살</t>
    <phoneticPr fontId="5" type="noConversion"/>
  </si>
  <si>
    <t>계란말이(대파)</t>
    <phoneticPr fontId="5" type="noConversion"/>
  </si>
  <si>
    <t>소떡</t>
    <phoneticPr fontId="5" type="noConversion"/>
  </si>
  <si>
    <t>어니언어묵</t>
    <phoneticPr fontId="5" type="noConversion"/>
  </si>
  <si>
    <t>코주부어묵(사각)</t>
    <phoneticPr fontId="5" type="noConversion"/>
  </si>
  <si>
    <t>매콤바</t>
    <phoneticPr fontId="5" type="noConversion"/>
  </si>
  <si>
    <t>6사단</t>
    <phoneticPr fontId="5" type="noConversion"/>
  </si>
  <si>
    <t>칵테일어묵</t>
    <phoneticPr fontId="5" type="noConversion"/>
  </si>
  <si>
    <t>8급양대</t>
    <phoneticPr fontId="5" type="noConversion"/>
  </si>
  <si>
    <t>간편종합</t>
    <phoneticPr fontId="5" type="noConversion"/>
  </si>
  <si>
    <t>통새우깐쇼새우</t>
    <phoneticPr fontId="5" type="noConversion"/>
  </si>
  <si>
    <t>1사단</t>
    <phoneticPr fontId="5" type="noConversion"/>
  </si>
  <si>
    <t>01월 06일</t>
    <phoneticPr fontId="5" type="noConversion"/>
  </si>
  <si>
    <t>53군지단</t>
    <phoneticPr fontId="5" type="noConversion"/>
  </si>
  <si>
    <t>식용유</t>
    <phoneticPr fontId="5" type="noConversion"/>
  </si>
  <si>
    <t>01월 07일</t>
    <phoneticPr fontId="5" type="noConversion"/>
  </si>
  <si>
    <t>육군훈련소</t>
    <phoneticPr fontId="5" type="noConversion"/>
  </si>
  <si>
    <t>부들어묵</t>
    <phoneticPr fontId="5" type="noConversion"/>
  </si>
  <si>
    <t>사각꼬지어묵(800g)</t>
    <phoneticPr fontId="5" type="noConversion"/>
  </si>
  <si>
    <t>계란말이(가쓰오)</t>
    <phoneticPr fontId="5" type="noConversion"/>
  </si>
  <si>
    <t>순살족발</t>
    <phoneticPr fontId="5" type="noConversion"/>
  </si>
  <si>
    <t>갈치사각</t>
    <phoneticPr fontId="5" type="noConversion"/>
  </si>
  <si>
    <t xml:space="preserve">01월 07일 </t>
    <phoneticPr fontId="5" type="noConversion"/>
  </si>
  <si>
    <t>01월 08일</t>
    <phoneticPr fontId="5" type="noConversion"/>
  </si>
  <si>
    <t>튀김어묵(냉동)</t>
    <phoneticPr fontId="5" type="noConversion"/>
  </si>
  <si>
    <t>진해급양대</t>
    <phoneticPr fontId="5" type="noConversion"/>
  </si>
  <si>
    <t>맛살채</t>
    <phoneticPr fontId="5" type="noConversion"/>
  </si>
  <si>
    <t>01월 09일</t>
    <phoneticPr fontId="5" type="noConversion"/>
  </si>
  <si>
    <t>7사단</t>
    <phoneticPr fontId="5" type="noConversion"/>
  </si>
  <si>
    <t>치폴레폭립</t>
    <phoneticPr fontId="5" type="noConversion"/>
  </si>
  <si>
    <t>된장찌개</t>
    <phoneticPr fontId="5" type="noConversion"/>
  </si>
  <si>
    <t>11사단</t>
    <phoneticPr fontId="5" type="noConversion"/>
  </si>
  <si>
    <t>돼지국밥</t>
    <phoneticPr fontId="5" type="noConversion"/>
  </si>
  <si>
    <t>슬라이스전두부</t>
    <phoneticPr fontId="5" type="noConversion"/>
  </si>
  <si>
    <t>22사단</t>
    <phoneticPr fontId="5" type="noConversion"/>
  </si>
  <si>
    <t>차슈</t>
    <phoneticPr fontId="5" type="noConversion"/>
  </si>
  <si>
    <t>꿀LA갈비</t>
    <phoneticPr fontId="5" type="noConversion"/>
  </si>
  <si>
    <t>01월 12일</t>
    <phoneticPr fontId="5" type="noConversion"/>
  </si>
  <si>
    <t>계란말이(버섯)</t>
    <phoneticPr fontId="5" type="noConversion"/>
  </si>
  <si>
    <t>01월 13일</t>
    <phoneticPr fontId="5" type="noConversion"/>
  </si>
  <si>
    <t>52군지단</t>
    <phoneticPr fontId="5" type="noConversion"/>
  </si>
  <si>
    <t>사골육수</t>
    <phoneticPr fontId="5" type="noConversion"/>
  </si>
  <si>
    <t>01월 14일</t>
    <phoneticPr fontId="5" type="noConversion"/>
  </si>
  <si>
    <t>불족발</t>
    <phoneticPr fontId="5" type="noConversion"/>
  </si>
  <si>
    <t>돼지불고기(고추장)</t>
    <phoneticPr fontId="5" type="noConversion"/>
  </si>
  <si>
    <t>사골우거지국</t>
    <phoneticPr fontId="5" type="noConversion"/>
  </si>
  <si>
    <t>01월 15일</t>
    <phoneticPr fontId="5" type="noConversion"/>
  </si>
  <si>
    <t>01월 16일</t>
    <phoneticPr fontId="5" type="noConversion"/>
  </si>
  <si>
    <t>언양식불고기</t>
    <phoneticPr fontId="5" type="noConversion"/>
  </si>
  <si>
    <t>쌀떡볶이떡</t>
    <phoneticPr fontId="5" type="noConversion"/>
  </si>
  <si>
    <t>01월 19일</t>
    <phoneticPr fontId="5" type="noConversion"/>
  </si>
  <si>
    <t>곱창볶음</t>
    <phoneticPr fontId="5" type="noConversion"/>
  </si>
  <si>
    <t>01월 20일</t>
    <phoneticPr fontId="5" type="noConversion"/>
  </si>
  <si>
    <t>01월 21일</t>
    <phoneticPr fontId="5" type="noConversion"/>
  </si>
  <si>
    <t>부대찌개</t>
    <phoneticPr fontId="5" type="noConversion"/>
  </si>
  <si>
    <t>바비큐슬라이스</t>
    <phoneticPr fontId="5" type="noConversion"/>
  </si>
  <si>
    <t>01월 22일</t>
    <phoneticPr fontId="5" type="noConversion"/>
  </si>
  <si>
    <t>01월 23일</t>
    <phoneticPr fontId="5" type="noConversion"/>
  </si>
  <si>
    <t>10급양대</t>
    <phoneticPr fontId="5" type="noConversion"/>
  </si>
  <si>
    <t>달콤갈비맛구이</t>
    <phoneticPr fontId="5" type="noConversion"/>
  </si>
  <si>
    <t>수방사</t>
    <phoneticPr fontId="5" type="noConversion"/>
  </si>
  <si>
    <t>01월 26일</t>
    <phoneticPr fontId="5" type="noConversion"/>
  </si>
  <si>
    <t>사골곰탕</t>
    <phoneticPr fontId="5" type="noConversion"/>
  </si>
  <si>
    <t>01월 27일</t>
    <phoneticPr fontId="5" type="noConversion"/>
  </si>
  <si>
    <t>2급양대</t>
    <phoneticPr fontId="5" type="noConversion"/>
  </si>
  <si>
    <t>01월 28일</t>
    <phoneticPr fontId="5" type="noConversion"/>
  </si>
  <si>
    <t>보쌈수육</t>
    <phoneticPr fontId="5" type="noConversion"/>
  </si>
  <si>
    <t>51사단</t>
    <phoneticPr fontId="5" type="noConversion"/>
  </si>
  <si>
    <t>15사단</t>
    <phoneticPr fontId="5" type="noConversion"/>
  </si>
  <si>
    <t>01월 29일</t>
    <phoneticPr fontId="5" type="noConversion"/>
  </si>
  <si>
    <t>01월 30일</t>
    <phoneticPr fontId="5" type="noConversion"/>
  </si>
  <si>
    <t>02월 01일</t>
    <phoneticPr fontId="5" type="noConversion"/>
  </si>
  <si>
    <t>02월 02일</t>
    <phoneticPr fontId="5" type="noConversion"/>
  </si>
  <si>
    <t>도가니탕</t>
    <phoneticPr fontId="5" type="noConversion"/>
  </si>
  <si>
    <t>코다리강정</t>
    <phoneticPr fontId="5" type="noConversion"/>
  </si>
  <si>
    <t>쫀득탱글전두부</t>
    <phoneticPr fontId="5" type="noConversion"/>
  </si>
  <si>
    <t>02월 03일</t>
    <phoneticPr fontId="5" type="noConversion"/>
  </si>
  <si>
    <t>02월 04일</t>
    <phoneticPr fontId="5" type="noConversion"/>
  </si>
  <si>
    <t>달콤돼지갈비찜</t>
    <phoneticPr fontId="5" type="noConversion"/>
  </si>
  <si>
    <t>2함대</t>
    <phoneticPr fontId="5" type="noConversion"/>
  </si>
  <si>
    <t>02월 05일</t>
    <phoneticPr fontId="5" type="noConversion"/>
  </si>
  <si>
    <t>플레인(조각)</t>
    <phoneticPr fontId="5" type="noConversion"/>
  </si>
  <si>
    <t>순댓국</t>
    <phoneticPr fontId="5" type="noConversion"/>
  </si>
  <si>
    <t xml:space="preserve">02월 05일 </t>
    <phoneticPr fontId="5" type="noConversion"/>
  </si>
  <si>
    <t>02월 06일</t>
    <phoneticPr fontId="5" type="noConversion"/>
  </si>
  <si>
    <t>색동모둠어묵</t>
    <phoneticPr fontId="5" type="noConversion"/>
  </si>
  <si>
    <t>02월 09일</t>
    <phoneticPr fontId="5" type="noConversion"/>
  </si>
  <si>
    <t>함박스테이크</t>
    <phoneticPr fontId="5" type="noConversion"/>
  </si>
  <si>
    <t>02월 10일</t>
    <phoneticPr fontId="5" type="noConversion"/>
  </si>
  <si>
    <t>02월 11일</t>
    <phoneticPr fontId="5" type="noConversion"/>
  </si>
  <si>
    <t>순살갈비탕</t>
    <phoneticPr fontId="5" type="noConversion"/>
  </si>
  <si>
    <t>02월 12일</t>
    <phoneticPr fontId="5" type="noConversion"/>
  </si>
  <si>
    <t>꿀소갈비찜</t>
    <phoneticPr fontId="5" type="noConversion"/>
  </si>
  <si>
    <t>매콤돼지갈비찜</t>
    <phoneticPr fontId="5" type="noConversion"/>
  </si>
  <si>
    <t>고기완자</t>
    <phoneticPr fontId="5" type="noConversion"/>
  </si>
  <si>
    <t>02월 13일</t>
    <phoneticPr fontId="5" type="noConversion"/>
  </si>
  <si>
    <t>02월 16일</t>
    <phoneticPr fontId="5" type="noConversion"/>
  </si>
  <si>
    <t xml:space="preserve">02월 16일 </t>
    <phoneticPr fontId="5" type="noConversion"/>
  </si>
  <si>
    <t>02월 18일</t>
    <phoneticPr fontId="5" type="noConversion"/>
  </si>
  <si>
    <t>02월 19일</t>
    <phoneticPr fontId="5" type="noConversion"/>
  </si>
  <si>
    <t>깐쇼새우</t>
    <phoneticPr fontId="5" type="noConversion"/>
  </si>
  <si>
    <t>02월 20일</t>
    <phoneticPr fontId="5" type="noConversion"/>
  </si>
  <si>
    <t>02월 23일</t>
    <phoneticPr fontId="5" type="noConversion"/>
  </si>
  <si>
    <t>02월 25일</t>
    <phoneticPr fontId="5" type="noConversion"/>
  </si>
  <si>
    <t>오징어바</t>
    <phoneticPr fontId="5" type="noConversion"/>
  </si>
  <si>
    <t>02월 24일</t>
    <phoneticPr fontId="5" type="noConversion"/>
  </si>
  <si>
    <t>02월 26일</t>
    <phoneticPr fontId="5" type="noConversion"/>
  </si>
  <si>
    <t>02월 27일</t>
    <phoneticPr fontId="5" type="noConversion"/>
  </si>
  <si>
    <t>볶음밥(차돌)</t>
    <phoneticPr fontId="5" type="noConversion"/>
  </si>
  <si>
    <t>훈제닭다리</t>
    <phoneticPr fontId="5" type="noConversion"/>
  </si>
  <si>
    <t>8사단</t>
    <phoneticPr fontId="5" type="noConversion"/>
  </si>
  <si>
    <t>03월 01일</t>
    <phoneticPr fontId="5" type="noConversion"/>
  </si>
  <si>
    <t>03월 02일</t>
    <phoneticPr fontId="5" type="noConversion"/>
  </si>
  <si>
    <t>03월 03일</t>
    <phoneticPr fontId="5" type="noConversion"/>
  </si>
  <si>
    <t xml:space="preserve">03월 03일 </t>
    <phoneticPr fontId="5" type="noConversion"/>
  </si>
  <si>
    <t>2해병대</t>
    <phoneticPr fontId="5" type="noConversion"/>
  </si>
  <si>
    <t>치즈어묵바</t>
    <phoneticPr fontId="5" type="noConversion"/>
  </si>
  <si>
    <t>03월 04일</t>
    <phoneticPr fontId="5" type="noConversion"/>
  </si>
  <si>
    <t>03월 05일</t>
    <phoneticPr fontId="5" type="noConversion"/>
  </si>
  <si>
    <t>꼬마치즈바</t>
    <phoneticPr fontId="5" type="noConversion"/>
  </si>
  <si>
    <t>03월 06일</t>
    <phoneticPr fontId="5" type="noConversion"/>
  </si>
  <si>
    <t>참어묵</t>
    <phoneticPr fontId="5" type="noConversion"/>
  </si>
  <si>
    <t>03월 09일</t>
    <phoneticPr fontId="5" type="noConversion"/>
  </si>
  <si>
    <t>03월 10일</t>
    <phoneticPr fontId="5" type="noConversion"/>
  </si>
  <si>
    <t>03월 11일</t>
    <phoneticPr fontId="5" type="noConversion"/>
  </si>
  <si>
    <t>03월 12일</t>
    <phoneticPr fontId="5" type="noConversion"/>
  </si>
  <si>
    <t>03월 13일</t>
    <phoneticPr fontId="5" type="noConversion"/>
  </si>
  <si>
    <t>큐브치즈어묵</t>
    <phoneticPr fontId="5" type="noConversion"/>
  </si>
  <si>
    <t>우리쌀아기볼</t>
    <phoneticPr fontId="5" type="noConversion"/>
  </si>
  <si>
    <t>03월 16일</t>
    <phoneticPr fontId="5" type="noConversion"/>
  </si>
  <si>
    <t>03월 17일</t>
    <phoneticPr fontId="5" type="noConversion"/>
  </si>
  <si>
    <t>03월 18일</t>
    <phoneticPr fontId="5" type="noConversion"/>
  </si>
  <si>
    <t>03월 19일</t>
    <phoneticPr fontId="5" type="noConversion"/>
  </si>
  <si>
    <t>쭈꾸미볶음</t>
    <phoneticPr fontId="5" type="noConversion"/>
  </si>
  <si>
    <t>03월 20일</t>
    <phoneticPr fontId="5" type="noConversion"/>
  </si>
  <si>
    <t>03월 23일</t>
    <phoneticPr fontId="5" type="noConversion"/>
  </si>
  <si>
    <t>03월 24일</t>
    <phoneticPr fontId="5" type="noConversion"/>
  </si>
  <si>
    <t>03월 25일</t>
    <phoneticPr fontId="5" type="noConversion"/>
  </si>
  <si>
    <t>우리당면찰순대</t>
    <phoneticPr fontId="5" type="noConversion"/>
  </si>
  <si>
    <t>03월 26일</t>
    <phoneticPr fontId="5" type="noConversion"/>
  </si>
  <si>
    <t>03월 27일</t>
    <phoneticPr fontId="5" type="noConversion"/>
  </si>
  <si>
    <t>03월 30일</t>
    <phoneticPr fontId="5" type="noConversion"/>
  </si>
  <si>
    <t>삼각밥(제육)</t>
    <phoneticPr fontId="5" type="noConversion"/>
  </si>
  <si>
    <t>삼각밥(김치)</t>
    <phoneticPr fontId="5" type="noConversion"/>
  </si>
  <si>
    <t>초코(조각)</t>
    <phoneticPr fontId="5" type="noConversion"/>
  </si>
  <si>
    <t>매콤갈비맛구이</t>
    <phoneticPr fontId="5" type="noConversion"/>
  </si>
  <si>
    <t>삼각밥(불고기)</t>
    <phoneticPr fontId="5" type="noConversion"/>
  </si>
  <si>
    <t>무뼈닭발</t>
    <phoneticPr fontId="5" type="noConversion"/>
  </si>
  <si>
    <t>닭가슴살강정</t>
    <phoneticPr fontId="5" type="noConversion"/>
  </si>
  <si>
    <t>고추잡채고기완자</t>
    <phoneticPr fontId="5" type="noConversion"/>
  </si>
  <si>
    <t>돼지껍데기</t>
    <phoneticPr fontId="5" type="noConversion"/>
  </si>
  <si>
    <t>빅레드폭립</t>
    <phoneticPr fontId="5" type="noConversion"/>
  </si>
  <si>
    <t>볶음밥(치킨)</t>
    <phoneticPr fontId="5" type="noConversion"/>
  </si>
  <si>
    <t>꿀간장돼지갈비찜</t>
    <phoneticPr fontId="5" type="noConversion"/>
  </si>
  <si>
    <t>양곰탕</t>
    <phoneticPr fontId="5" type="noConversion"/>
  </si>
  <si>
    <t>매출</t>
    <phoneticPr fontId="3" type="noConversion"/>
  </si>
  <si>
    <t>단가(Vat별도)</t>
  </si>
  <si>
    <t>구분</t>
    <phoneticPr fontId="3" type="noConversion"/>
  </si>
  <si>
    <t>ㅇ</t>
  </si>
  <si>
    <t>간편종합</t>
  </si>
  <si>
    <t>갈치사각</t>
  </si>
  <si>
    <t>사각꼬지어묵(800g)</t>
  </si>
  <si>
    <t>사각꼬지어묵(600g)</t>
  </si>
  <si>
    <t>어니언어묵</t>
  </si>
  <si>
    <t>참어묵</t>
  </si>
  <si>
    <t>튀김어묵(냉장)</t>
  </si>
  <si>
    <t>튀김어묵(냉동)</t>
  </si>
  <si>
    <t>돼지불고기</t>
  </si>
  <si>
    <t>돼지갈비찜</t>
  </si>
  <si>
    <t>소갈비찜</t>
  </si>
  <si>
    <t>코다리강정</t>
  </si>
  <si>
    <t>아귀강정</t>
  </si>
  <si>
    <t>깐쇼새우</t>
  </si>
  <si>
    <t>소떡</t>
  </si>
  <si>
    <t>오레오떡</t>
  </si>
  <si>
    <t>스트로베리떡</t>
  </si>
  <si>
    <t>바나나떡</t>
  </si>
  <si>
    <t>다크초코떡</t>
  </si>
  <si>
    <t>아몬드오븐찰떡</t>
  </si>
  <si>
    <t>브라우니찰떡</t>
  </si>
  <si>
    <t>기타</t>
    <phoneticPr fontId="5" type="noConversion"/>
  </si>
  <si>
    <t>떡</t>
    <phoneticPr fontId="5" type="noConversion"/>
  </si>
  <si>
    <t>수제갈비맛 야채떡쌈</t>
    <phoneticPr fontId="5" type="noConversion"/>
  </si>
  <si>
    <t>계룡대 근무지원단</t>
    <phoneticPr fontId="5" type="noConversion"/>
  </si>
  <si>
    <t>예담</t>
    <phoneticPr fontId="5" type="noConversion"/>
  </si>
  <si>
    <t>수제갈비맛 야채떡쌈</t>
    <phoneticPr fontId="3" type="noConversion"/>
  </si>
  <si>
    <t>소불고기</t>
    <phoneticPr fontId="5" type="noConversion"/>
  </si>
  <si>
    <t>쫄깃탱글소떡</t>
    <phoneticPr fontId="5" type="noConversion"/>
  </si>
  <si>
    <t>오레오떡(700g)</t>
    <phoneticPr fontId="5" type="noConversion"/>
  </si>
  <si>
    <t>스트로베리떡(700g)</t>
    <phoneticPr fontId="5" type="noConversion"/>
  </si>
  <si>
    <t>바나나떡(700g)</t>
    <phoneticPr fontId="5" type="noConversion"/>
  </si>
  <si>
    <t>다크초코떡(700g)</t>
    <phoneticPr fontId="5" type="noConversion"/>
  </si>
  <si>
    <t>아몬드오븐찰떡(600g)</t>
    <phoneticPr fontId="5" type="noConversion"/>
  </si>
  <si>
    <t>브라우니찰떡(600g)</t>
    <phoneticPr fontId="5" type="noConversion"/>
  </si>
  <si>
    <t>황태해장국</t>
    <phoneticPr fontId="5" type="noConversion"/>
  </si>
  <si>
    <t>꿀소불고기</t>
    <phoneticPr fontId="5" type="noConversion"/>
  </si>
  <si>
    <t>꿀고추장돼지갈비찜</t>
    <phoneticPr fontId="5" type="noConversion"/>
  </si>
  <si>
    <t>닭갈비</t>
    <phoneticPr fontId="5" type="noConversion"/>
  </si>
  <si>
    <t>닭가슴살(데리야끼)</t>
    <phoneticPr fontId="5" type="noConversion"/>
  </si>
  <si>
    <t>닭가슴살(숯불갈비)</t>
    <phoneticPr fontId="5" type="noConversion"/>
  </si>
  <si>
    <t>플레인(홀)</t>
    <phoneticPr fontId="5" type="noConversion"/>
  </si>
  <si>
    <t>초코(홀)</t>
    <phoneticPr fontId="5" type="noConversion"/>
  </si>
  <si>
    <t>낙지볶음</t>
    <phoneticPr fontId="5" type="noConversion"/>
  </si>
  <si>
    <t>막창볶음</t>
    <phoneticPr fontId="5" type="noConversion"/>
  </si>
  <si>
    <t>7사단 3여단</t>
    <phoneticPr fontId="5" type="noConversion"/>
  </si>
  <si>
    <t>7사단 5여단</t>
    <phoneticPr fontId="5" type="noConversion"/>
  </si>
  <si>
    <t>7사단 8여단</t>
    <phoneticPr fontId="5" type="noConversion"/>
  </si>
  <si>
    <t>04월 01일</t>
    <phoneticPr fontId="5" type="noConversion"/>
  </si>
  <si>
    <t>04월 02일</t>
    <phoneticPr fontId="5" type="noConversion"/>
  </si>
  <si>
    <t>04월 03일</t>
    <phoneticPr fontId="5" type="noConversion"/>
  </si>
  <si>
    <t>04월 06일</t>
    <phoneticPr fontId="5" type="noConversion"/>
  </si>
  <si>
    <t>04월 07일</t>
    <phoneticPr fontId="5" type="noConversion"/>
  </si>
  <si>
    <t>04월 08일</t>
    <phoneticPr fontId="5" type="noConversion"/>
  </si>
  <si>
    <t>04월 09일</t>
    <phoneticPr fontId="5" type="noConversion"/>
  </si>
  <si>
    <t>04월 10일</t>
    <phoneticPr fontId="5" type="noConversion"/>
  </si>
  <si>
    <t>04월 13일</t>
    <phoneticPr fontId="5" type="noConversion"/>
  </si>
  <si>
    <t>04월 14일</t>
    <phoneticPr fontId="5" type="noConversion"/>
  </si>
  <si>
    <t>04월 15일</t>
    <phoneticPr fontId="5" type="noConversion"/>
  </si>
  <si>
    <t>04월 16일</t>
    <phoneticPr fontId="5" type="noConversion"/>
  </si>
  <si>
    <t>04월 17일</t>
    <phoneticPr fontId="5" type="noConversion"/>
  </si>
  <si>
    <t>04월 20일</t>
    <phoneticPr fontId="5" type="noConversion"/>
  </si>
  <si>
    <t>04월 21일</t>
    <phoneticPr fontId="5" type="noConversion"/>
  </si>
  <si>
    <t>04월 22일</t>
    <phoneticPr fontId="5" type="noConversion"/>
  </si>
  <si>
    <t>04월 23일</t>
    <phoneticPr fontId="5" type="noConversion"/>
  </si>
  <si>
    <t>04월 24일</t>
    <phoneticPr fontId="5" type="noConversion"/>
  </si>
  <si>
    <t>04월 27일</t>
    <phoneticPr fontId="5" type="noConversion"/>
  </si>
  <si>
    <t>04월 28일</t>
    <phoneticPr fontId="5" type="noConversion"/>
  </si>
  <si>
    <t>04월 29일</t>
    <phoneticPr fontId="5" type="noConversion"/>
  </si>
  <si>
    <t>04월 30일</t>
    <phoneticPr fontId="5" type="noConversion"/>
  </si>
  <si>
    <t>슬라이스찰순대</t>
    <phoneticPr fontId="5" type="noConversion"/>
  </si>
  <si>
    <t>꼬마야채바</t>
    <phoneticPr fontId="5" type="noConversion"/>
  </si>
  <si>
    <t>8사단73여단</t>
    <phoneticPr fontId="5" type="noConversion"/>
  </si>
  <si>
    <t xml:space="preserve">8사단 </t>
    <phoneticPr fontId="5" type="noConversion"/>
  </si>
  <si>
    <t>05월 01일</t>
    <phoneticPr fontId="5" type="noConversion"/>
  </si>
  <si>
    <t>05월 04일</t>
    <phoneticPr fontId="5" type="noConversion"/>
  </si>
  <si>
    <t>05월 06일</t>
    <phoneticPr fontId="5" type="noConversion"/>
  </si>
  <si>
    <t>05월 07일</t>
    <phoneticPr fontId="5" type="noConversion"/>
  </si>
  <si>
    <t>05월 08일</t>
    <phoneticPr fontId="5" type="noConversion"/>
  </si>
  <si>
    <t>05월 11일</t>
    <phoneticPr fontId="5" type="noConversion"/>
  </si>
  <si>
    <t>05월 12일</t>
    <phoneticPr fontId="5" type="noConversion"/>
  </si>
  <si>
    <t>05월 13일</t>
    <phoneticPr fontId="5" type="noConversion"/>
  </si>
  <si>
    <t>05월 14일</t>
    <phoneticPr fontId="5" type="noConversion"/>
  </si>
  <si>
    <t>05월 15일</t>
    <phoneticPr fontId="5" type="noConversion"/>
  </si>
  <si>
    <t>05월 15일</t>
  </si>
  <si>
    <t>05월 18일</t>
    <phoneticPr fontId="5" type="noConversion"/>
  </si>
  <si>
    <t>05월 19일</t>
    <phoneticPr fontId="5" type="noConversion"/>
  </si>
  <si>
    <t>05월 20일</t>
    <phoneticPr fontId="5" type="noConversion"/>
  </si>
  <si>
    <t>05월 21일</t>
    <phoneticPr fontId="5" type="noConversion"/>
  </si>
  <si>
    <t>05월 22일</t>
    <phoneticPr fontId="5" type="noConversion"/>
  </si>
  <si>
    <t>05월 22일</t>
  </si>
  <si>
    <t>05월 25일</t>
    <phoneticPr fontId="5" type="noConversion"/>
  </si>
  <si>
    <t>05월 26일</t>
    <phoneticPr fontId="5" type="noConversion"/>
  </si>
  <si>
    <t>05월 27일</t>
    <phoneticPr fontId="5" type="noConversion"/>
  </si>
  <si>
    <t>05월 28일</t>
    <phoneticPr fontId="5" type="noConversion"/>
  </si>
  <si>
    <t>05월 29일</t>
    <phoneticPr fontId="5" type="noConversion"/>
  </si>
  <si>
    <t>06월 01일</t>
    <phoneticPr fontId="5" type="noConversion"/>
  </si>
  <si>
    <t>06월 02일</t>
    <phoneticPr fontId="5" type="noConversion"/>
  </si>
  <si>
    <t>06월 03일</t>
    <phoneticPr fontId="5" type="noConversion"/>
  </si>
  <si>
    <t>06월 04일</t>
    <phoneticPr fontId="5" type="noConversion"/>
  </si>
  <si>
    <t>06월 05일</t>
    <phoneticPr fontId="5" type="noConversion"/>
  </si>
  <si>
    <t xml:space="preserve">06월 05일 </t>
    <phoneticPr fontId="5" type="noConversion"/>
  </si>
  <si>
    <t>06월 08일</t>
    <phoneticPr fontId="5" type="noConversion"/>
  </si>
  <si>
    <t>06월 09일</t>
    <phoneticPr fontId="5" type="noConversion"/>
  </si>
  <si>
    <t>06월 10일</t>
    <phoneticPr fontId="5" type="noConversion"/>
  </si>
  <si>
    <t>06월 11일</t>
    <phoneticPr fontId="5" type="noConversion"/>
  </si>
  <si>
    <t>06월 12일</t>
    <phoneticPr fontId="5" type="noConversion"/>
  </si>
  <si>
    <t>06월 15일</t>
    <phoneticPr fontId="5" type="noConversion"/>
  </si>
  <si>
    <t>06월 16일</t>
    <phoneticPr fontId="5" type="noConversion"/>
  </si>
  <si>
    <t>06월 17일</t>
    <phoneticPr fontId="5" type="noConversion"/>
  </si>
  <si>
    <t>06월 18일</t>
    <phoneticPr fontId="5" type="noConversion"/>
  </si>
  <si>
    <t>06월 19일</t>
    <phoneticPr fontId="5" type="noConversion"/>
  </si>
  <si>
    <t>06월 22일</t>
    <phoneticPr fontId="5" type="noConversion"/>
  </si>
  <si>
    <t>06월 23일</t>
    <phoneticPr fontId="5" type="noConversion"/>
  </si>
  <si>
    <t>06월 24일</t>
    <phoneticPr fontId="5" type="noConversion"/>
  </si>
  <si>
    <t>06월 25일</t>
    <phoneticPr fontId="5" type="noConversion"/>
  </si>
  <si>
    <t>06월 26일</t>
    <phoneticPr fontId="5" type="noConversion"/>
  </si>
  <si>
    <t>06월 29일</t>
    <phoneticPr fontId="5" type="noConversion"/>
  </si>
  <si>
    <t>06월 30일</t>
    <phoneticPr fontId="5" type="noConversion"/>
  </si>
  <si>
    <t>매콤어묵바</t>
    <phoneticPr fontId="5" type="noConversion"/>
  </si>
  <si>
    <t>1함대</t>
    <phoneticPr fontId="5" type="noConversion"/>
  </si>
  <si>
    <t>07월 01일</t>
    <phoneticPr fontId="5" type="noConversion"/>
  </si>
  <si>
    <t>07월 02일</t>
    <phoneticPr fontId="5" type="noConversion"/>
  </si>
  <si>
    <t>07월 03일</t>
    <phoneticPr fontId="5" type="noConversion"/>
  </si>
  <si>
    <t>07월 06일</t>
    <phoneticPr fontId="5" type="noConversion"/>
  </si>
  <si>
    <t>07월 07일</t>
    <phoneticPr fontId="5" type="noConversion"/>
  </si>
  <si>
    <t>07월 08일</t>
    <phoneticPr fontId="5" type="noConversion"/>
  </si>
  <si>
    <t>07월 09일</t>
    <phoneticPr fontId="5" type="noConversion"/>
  </si>
  <si>
    <t>07월 10일</t>
    <phoneticPr fontId="5" type="noConversion"/>
  </si>
  <si>
    <t xml:space="preserve">07월 10일 </t>
    <phoneticPr fontId="5" type="noConversion"/>
  </si>
  <si>
    <t>07월 13일</t>
    <phoneticPr fontId="5" type="noConversion"/>
  </si>
  <si>
    <t>07월 14일</t>
    <phoneticPr fontId="5" type="noConversion"/>
  </si>
  <si>
    <t>07월 15일</t>
    <phoneticPr fontId="5" type="noConversion"/>
  </si>
  <si>
    <t>07월 16일</t>
    <phoneticPr fontId="5" type="noConversion"/>
  </si>
  <si>
    <t>07월 17일</t>
    <phoneticPr fontId="5" type="noConversion"/>
  </si>
  <si>
    <t>07월 20일</t>
    <phoneticPr fontId="5" type="noConversion"/>
  </si>
  <si>
    <t>07월 21일</t>
    <phoneticPr fontId="5" type="noConversion"/>
  </si>
  <si>
    <t>07월 22일</t>
    <phoneticPr fontId="5" type="noConversion"/>
  </si>
  <si>
    <t>07월 23일</t>
    <phoneticPr fontId="5" type="noConversion"/>
  </si>
  <si>
    <t>07월 24일</t>
    <phoneticPr fontId="5" type="noConversion"/>
  </si>
  <si>
    <t>07월 27일</t>
    <phoneticPr fontId="5" type="noConversion"/>
  </si>
  <si>
    <t>07월 28일</t>
    <phoneticPr fontId="5" type="noConversion"/>
  </si>
  <si>
    <t>07월 29일</t>
    <phoneticPr fontId="5" type="noConversion"/>
  </si>
  <si>
    <t>양념육</t>
    <phoneticPr fontId="5" type="noConversion"/>
  </si>
  <si>
    <t>알가공품</t>
    <phoneticPr fontId="5" type="noConversion"/>
  </si>
  <si>
    <t>국/탕</t>
    <phoneticPr fontId="5" type="noConversion"/>
  </si>
  <si>
    <t>식물성기름</t>
    <phoneticPr fontId="5" type="noConversion"/>
  </si>
  <si>
    <t>두부</t>
    <phoneticPr fontId="5" type="noConversion"/>
  </si>
  <si>
    <t>맛살</t>
    <phoneticPr fontId="5" type="noConversion"/>
  </si>
  <si>
    <t>수산물</t>
    <phoneticPr fontId="5" type="noConversion"/>
  </si>
  <si>
    <t>어묵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</si>
</sst>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mm&quot;월&quot;\ dd&quot;일&quot;"/>
  </numFmts>
  <fonts count="11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6"/>
      <color theme="1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sz val="12"/>
      <color rgb="FF000000"/>
      <name val="맑은 고딕"/>
      <family val="3"/>
      <charset val="129"/>
    </font>
    <font>
      <sz val="8"/>
      <name val="돋움"/>
      <family val="3"/>
      <charset val="129"/>
    </font>
    <font>
      <sz val="12"/>
      <name val="맑은 고딕"/>
      <family val="3"/>
      <charset val="129"/>
    </font>
    <font>
      <b/>
      <sz val="12"/>
      <color rgb="FFFF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sz val="12"/>
      <color theme="1"/>
      <name val="맑은 고딕"/>
      <family val="3"/>
      <charset val="129"/>
    </font>
    <font>
      <sz val="12"/>
      <color rgb="FFFF0000"/>
      <name val="맑은 고딕"/>
      <family val="3"/>
      <charset val="129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5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8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8" fillId="0" borderId="0">
      <alignment vertical="center"/>
    </xf>
  </cellStyleXfs>
  <cellXfs count="31">
    <xf numFmtId="0" fontId="0" fillId="0" borderId="0" xfId="0">
      <alignment vertical="center"/>
    </xf>
    <xf numFmtId="0" fontId="2" fillId="2" borderId="1" xfId="0" applyFont="1" applyFill="1" applyBorder="1" applyAlignment="1">
      <alignment horizontal="center" vertical="center"/>
    </xf>
    <xf numFmtId="41" fontId="2" fillId="2" borderId="1" xfId="1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41" fontId="8" fillId="0" borderId="1" xfId="2" applyBorder="1" applyAlignment="1">
      <alignment horizontal="center" vertical="center"/>
    </xf>
    <xf numFmtId="41" fontId="0" fillId="0" borderId="1" xfId="1" applyFont="1" applyFill="1" applyBorder="1">
      <alignment vertical="center"/>
    </xf>
    <xf numFmtId="41" fontId="7" fillId="0" borderId="1" xfId="2" applyFont="1" applyBorder="1">
      <alignment vertical="center"/>
    </xf>
    <xf numFmtId="0" fontId="9" fillId="0" borderId="1" xfId="0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41" fontId="7" fillId="3" borderId="1" xfId="2" applyFont="1" applyFill="1" applyBorder="1">
      <alignment vertical="center"/>
    </xf>
    <xf numFmtId="0" fontId="6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41" fontId="8" fillId="0" borderId="1" xfId="4" applyBorder="1">
      <alignment vertical="center"/>
    </xf>
    <xf numFmtId="0" fontId="4" fillId="0" borderId="1" xfId="0" applyFont="1" applyBorder="1">
      <alignment vertical="center"/>
    </xf>
    <xf numFmtId="0" fontId="4" fillId="0" borderId="1" xfId="0" quotePrefix="1" applyFont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41" fontId="8" fillId="0" borderId="0" xfId="4">
      <alignment vertical="center"/>
    </xf>
    <xf numFmtId="0" fontId="8" fillId="0" borderId="0" xfId="0" applyFont="1">
      <alignment vertical="center"/>
    </xf>
    <xf numFmtId="41" fontId="7" fillId="5" borderId="1" xfId="2" applyFont="1" applyFill="1" applyBorder="1">
      <alignment vertical="center"/>
    </xf>
    <xf numFmtId="41" fontId="8" fillId="0" borderId="1" xfId="2" applyBorder="1">
      <alignment vertical="center"/>
    </xf>
    <xf numFmtId="41" fontId="8" fillId="0" borderId="2" xfId="2" applyBorder="1">
      <alignment vertical="center"/>
    </xf>
    <xf numFmtId="0" fontId="6" fillId="0" borderId="1" xfId="0" applyFont="1" applyFill="1" applyBorder="1" applyAlignment="1">
      <alignment horizontal="center" vertical="center"/>
    </xf>
    <xf numFmtId="176" fontId="6" fillId="0" borderId="1" xfId="0" applyNumberFormat="1" applyFont="1" applyFill="1" applyBorder="1" applyAlignment="1">
      <alignment horizontal="center" vertical="center"/>
    </xf>
    <xf numFmtId="0" fontId="9" fillId="0" borderId="1" xfId="0" applyFont="1" applyFill="1" applyBorder="1" applyAlignment="1">
      <alignment horizontal="center" vertical="center"/>
    </xf>
    <xf numFmtId="41" fontId="4" fillId="0" borderId="1" xfId="2" applyFont="1" applyFill="1" applyBorder="1" applyAlignment="1">
      <alignment horizontal="center" vertical="center"/>
    </xf>
    <xf numFmtId="41" fontId="6" fillId="0" borderId="1" xfId="2" applyFont="1" applyFill="1" applyBorder="1" applyAlignment="1">
      <alignment horizontal="center" vertical="center"/>
    </xf>
    <xf numFmtId="41" fontId="6" fillId="2" borderId="1" xfId="2" applyFont="1" applyFill="1" applyBorder="1">
      <alignment vertical="center"/>
    </xf>
    <xf numFmtId="41" fontId="4" fillId="2" borderId="1" xfId="2" applyFont="1" applyFill="1" applyBorder="1">
      <alignment vertical="center"/>
    </xf>
    <xf numFmtId="41" fontId="9" fillId="2" borderId="1" xfId="2" applyFont="1" applyFill="1" applyBorder="1">
      <alignment vertical="center"/>
    </xf>
    <xf numFmtId="41" fontId="10" fillId="2" borderId="1" xfId="2" applyFont="1" applyFill="1" applyBorder="1">
      <alignment vertical="center"/>
    </xf>
  </cellXfs>
  <cellStyles count="5">
    <cellStyle name="쉼표 [0]" xfId="1" builtinId="6"/>
    <cellStyle name="쉼표 [0] 2" xfId="2" xr:uid="{247BF0CD-78D4-49F4-A039-49038DC8DF39}"/>
    <cellStyle name="쉼표 [0] 2 2" xfId="4" xr:uid="{3D3D2179-2F60-4DBE-B216-4140C832E170}"/>
    <cellStyle name="쉼표 [0] 3" xfId="3" xr:uid="{0C458E81-734E-4596-AF2F-797EEFB1B996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472A1-8D82-4275-9821-D600A4328DBF}">
  <dimension ref="A1:G1646"/>
  <sheetViews>
    <sheetView tabSelected="1" workbookViewId="0">
      <selection activeCell="B3" sqref="B3"/>
    </sheetView>
  </sheetViews>
  <sheetFormatPr defaultRowHeight="16.5" x14ac:dyDescent="0.3"/>
  <cols>
    <col min="1" max="1" width="11.875" bestFit="1" customWidth="1"/>
    <col min="2" max="2" width="14.125" bestFit="1" customWidth="1"/>
    <col min="3" max="3" width="14.125" customWidth="1"/>
    <col min="4" max="4" width="20.625" bestFit="1" customWidth="1"/>
    <col min="5" max="5" width="8.5" bestFit="1" customWidth="1"/>
    <col min="6" max="6" width="18.75" bestFit="1" customWidth="1"/>
    <col min="7" max="7" width="21.25" bestFit="1" customWidth="1"/>
  </cols>
  <sheetData>
    <row r="1" spans="1:7" ht="26.25" x14ac:dyDescent="0.3">
      <c r="A1" s="1" t="s">
        <v>0</v>
      </c>
      <c r="B1" s="1" t="s">
        <v>1</v>
      </c>
      <c r="C1" s="1" t="s">
        <v>192</v>
      </c>
      <c r="D1" s="1" t="s">
        <v>2</v>
      </c>
      <c r="E1" s="1" t="s">
        <v>3</v>
      </c>
      <c r="F1" t="s">
        <v>191</v>
      </c>
      <c r="G1" s="2" t="s">
        <v>190</v>
      </c>
    </row>
    <row r="2" spans="1:7" ht="17.25" x14ac:dyDescent="0.3">
      <c r="A2" s="23" t="s">
        <v>4</v>
      </c>
      <c r="B2" s="22" t="s">
        <v>5</v>
      </c>
      <c r="C2" s="4" t="s">
        <v>337</v>
      </c>
      <c r="D2" s="4" t="s">
        <v>6</v>
      </c>
      <c r="E2" s="7">
        <v>1080</v>
      </c>
      <c r="F2" s="5">
        <f>IFERROR(VLOOKUP(D2, Sheet2!$A:$C, 3, FALSE), 0)</f>
        <v>14999.999999999998</v>
      </c>
      <c r="G2" s="6">
        <f>E2*F2</f>
        <v>16199999.999999998</v>
      </c>
    </row>
    <row r="3" spans="1:7" ht="17.25" x14ac:dyDescent="0.3">
      <c r="A3" s="23" t="s">
        <v>7</v>
      </c>
      <c r="B3" s="22" t="s">
        <v>8</v>
      </c>
      <c r="C3" s="4" t="s">
        <v>337</v>
      </c>
      <c r="D3" s="4" t="s">
        <v>9</v>
      </c>
      <c r="E3" s="7">
        <v>783</v>
      </c>
      <c r="F3" s="5">
        <f>IFERROR(VLOOKUP(D3, Sheet2!$A:$C, 3, FALSE), 0)</f>
        <v>18636.363636363636</v>
      </c>
      <c r="G3" s="6">
        <f t="shared" ref="G3:G66" si="0">E3*F3</f>
        <v>14592272.727272727</v>
      </c>
    </row>
    <row r="4" spans="1:7" ht="17.25" x14ac:dyDescent="0.3">
      <c r="A4" s="23" t="s">
        <v>7</v>
      </c>
      <c r="B4" s="22" t="s">
        <v>8</v>
      </c>
      <c r="C4" s="4" t="s">
        <v>339</v>
      </c>
      <c r="D4" s="4" t="s">
        <v>10</v>
      </c>
      <c r="E4" s="7">
        <v>642</v>
      </c>
      <c r="F4" s="5">
        <f>IFERROR(VLOOKUP(D4, Sheet2!$A:$C, 3, FALSE), 0)</f>
        <v>20818.181818181816</v>
      </c>
      <c r="G4" s="6">
        <f t="shared" si="0"/>
        <v>13365272.727272727</v>
      </c>
    </row>
    <row r="5" spans="1:7" ht="17.25" x14ac:dyDescent="0.3">
      <c r="A5" s="23" t="s">
        <v>7</v>
      </c>
      <c r="B5" s="22" t="s">
        <v>11</v>
      </c>
      <c r="C5" s="4" t="s">
        <v>337</v>
      </c>
      <c r="D5" s="4" t="s">
        <v>12</v>
      </c>
      <c r="E5" s="7">
        <v>756</v>
      </c>
      <c r="F5" s="5">
        <f>IFERROR(VLOOKUP(D5, Sheet2!$A:$C, 3, FALSE), 0)</f>
        <v>26363.63636363636</v>
      </c>
      <c r="G5" s="6">
        <f t="shared" si="0"/>
        <v>19930909.09090909</v>
      </c>
    </row>
    <row r="6" spans="1:7" ht="17.25" x14ac:dyDescent="0.3">
      <c r="A6" s="22" t="s">
        <v>7</v>
      </c>
      <c r="B6" s="22" t="s">
        <v>11</v>
      </c>
      <c r="C6" s="4" t="s">
        <v>337</v>
      </c>
      <c r="D6" s="4" t="s">
        <v>13</v>
      </c>
      <c r="E6" s="7">
        <v>1449</v>
      </c>
      <c r="F6" s="5">
        <f>IFERROR(VLOOKUP(D6, Sheet2!$A:$C, 3, FALSE), 0)</f>
        <v>18090.909090909088</v>
      </c>
      <c r="G6" s="6">
        <f t="shared" si="0"/>
        <v>26213727.27272727</v>
      </c>
    </row>
    <row r="7" spans="1:7" ht="17.25" x14ac:dyDescent="0.3">
      <c r="A7" s="23" t="s">
        <v>7</v>
      </c>
      <c r="B7" s="22" t="s">
        <v>14</v>
      </c>
      <c r="C7" s="4" t="s">
        <v>344</v>
      </c>
      <c r="D7" s="4" t="s">
        <v>15</v>
      </c>
      <c r="E7" s="7">
        <v>193</v>
      </c>
      <c r="F7" s="5">
        <f>IFERROR(VLOOKUP(D7, Sheet2!$A:$C, 3, FALSE), 0)</f>
        <v>3863.6363636363635</v>
      </c>
      <c r="G7" s="6">
        <f t="shared" si="0"/>
        <v>745681.81818181812</v>
      </c>
    </row>
    <row r="8" spans="1:7" ht="17.25" x14ac:dyDescent="0.3">
      <c r="A8" s="23" t="s">
        <v>7</v>
      </c>
      <c r="B8" s="22" t="s">
        <v>16</v>
      </c>
      <c r="C8" s="4" t="s">
        <v>341</v>
      </c>
      <c r="D8" s="4" t="s">
        <v>17</v>
      </c>
      <c r="E8" s="7">
        <v>148</v>
      </c>
      <c r="F8" s="5">
        <f>IFERROR(VLOOKUP(D8, Sheet2!$A:$C, 3, FALSE), 0)</f>
        <v>11700</v>
      </c>
      <c r="G8" s="6">
        <f t="shared" si="0"/>
        <v>1731600</v>
      </c>
    </row>
    <row r="9" spans="1:7" ht="17.25" x14ac:dyDescent="0.3">
      <c r="A9" s="23" t="s">
        <v>7</v>
      </c>
      <c r="B9" s="22" t="s">
        <v>18</v>
      </c>
      <c r="C9" s="4" t="s">
        <v>337</v>
      </c>
      <c r="D9" s="4" t="s">
        <v>6</v>
      </c>
      <c r="E9" s="7">
        <v>876</v>
      </c>
      <c r="F9" s="5">
        <f>IFERROR(VLOOKUP(D9, Sheet2!$A:$C, 3, FALSE), 0)</f>
        <v>14999.999999999998</v>
      </c>
      <c r="G9" s="6">
        <f t="shared" si="0"/>
        <v>13139999.999999998</v>
      </c>
    </row>
    <row r="10" spans="1:7" ht="17.25" x14ac:dyDescent="0.3">
      <c r="A10" s="23" t="s">
        <v>7</v>
      </c>
      <c r="B10" s="22" t="s">
        <v>19</v>
      </c>
      <c r="C10" s="4" t="s">
        <v>344</v>
      </c>
      <c r="D10" s="4" t="s">
        <v>20</v>
      </c>
      <c r="E10" s="7">
        <v>197</v>
      </c>
      <c r="F10" s="5">
        <f>IFERROR(VLOOKUP(D10, Sheet2!$A:$C, 3, FALSE), 0)</f>
        <v>6999.9999999999991</v>
      </c>
      <c r="G10" s="6">
        <f t="shared" si="0"/>
        <v>1378999.9999999998</v>
      </c>
    </row>
    <row r="11" spans="1:7" ht="17.25" x14ac:dyDescent="0.3">
      <c r="A11" s="23" t="s">
        <v>7</v>
      </c>
      <c r="B11" s="22" t="s">
        <v>21</v>
      </c>
      <c r="C11" s="4" t="s">
        <v>337</v>
      </c>
      <c r="D11" s="4" t="s">
        <v>9</v>
      </c>
      <c r="E11" s="7">
        <v>932</v>
      </c>
      <c r="F11" s="5">
        <f>IFERROR(VLOOKUP(D11, Sheet2!$A:$C, 3, FALSE), 0)</f>
        <v>18636.363636363636</v>
      </c>
      <c r="G11" s="6">
        <f t="shared" si="0"/>
        <v>17369090.90909091</v>
      </c>
    </row>
    <row r="12" spans="1:7" ht="17.25" x14ac:dyDescent="0.3">
      <c r="A12" s="23" t="s">
        <v>7</v>
      </c>
      <c r="B12" s="22" t="s">
        <v>21</v>
      </c>
      <c r="C12" s="4" t="s">
        <v>344</v>
      </c>
      <c r="D12" s="4" t="s">
        <v>22</v>
      </c>
      <c r="E12" s="7">
        <v>132</v>
      </c>
      <c r="F12" s="5">
        <f>IFERROR(VLOOKUP(D12, Sheet2!$A:$C, 3, FALSE), 0)</f>
        <v>5999.9999999999991</v>
      </c>
      <c r="G12" s="6">
        <f t="shared" si="0"/>
        <v>791999.99999999988</v>
      </c>
    </row>
    <row r="13" spans="1:7" ht="17.25" x14ac:dyDescent="0.3">
      <c r="A13" s="23" t="s">
        <v>7</v>
      </c>
      <c r="B13" s="22" t="s">
        <v>23</v>
      </c>
      <c r="C13" s="4" t="s">
        <v>337</v>
      </c>
      <c r="D13" s="4" t="s">
        <v>12</v>
      </c>
      <c r="E13" s="7">
        <v>172</v>
      </c>
      <c r="F13" s="5">
        <f>IFERROR(VLOOKUP(D13, Sheet2!$A:$C, 3, FALSE), 0)</f>
        <v>26363.63636363636</v>
      </c>
      <c r="G13" s="6">
        <f t="shared" si="0"/>
        <v>4534545.4545454541</v>
      </c>
    </row>
    <row r="14" spans="1:7" ht="17.25" x14ac:dyDescent="0.3">
      <c r="A14" s="23" t="s">
        <v>7</v>
      </c>
      <c r="B14" s="22" t="s">
        <v>24</v>
      </c>
      <c r="C14" s="4" t="s">
        <v>341</v>
      </c>
      <c r="D14" s="4" t="s">
        <v>17</v>
      </c>
      <c r="E14" s="7">
        <v>40</v>
      </c>
      <c r="F14" s="5">
        <f>IFERROR(VLOOKUP(D14, Sheet2!$A:$C, 3, FALSE), 0)</f>
        <v>11700</v>
      </c>
      <c r="G14" s="6">
        <f t="shared" si="0"/>
        <v>468000</v>
      </c>
    </row>
    <row r="15" spans="1:7" ht="17.25" x14ac:dyDescent="0.3">
      <c r="A15" s="23" t="s">
        <v>7</v>
      </c>
      <c r="B15" s="22" t="s">
        <v>25</v>
      </c>
      <c r="C15" s="4" t="s">
        <v>337</v>
      </c>
      <c r="D15" s="4" t="s">
        <v>26</v>
      </c>
      <c r="E15" s="7">
        <v>516</v>
      </c>
      <c r="F15" s="5">
        <f>IFERROR(VLOOKUP(D15, Sheet2!$A:$C, 3, FALSE), 0)</f>
        <v>21000</v>
      </c>
      <c r="G15" s="6">
        <f t="shared" si="0"/>
        <v>10836000</v>
      </c>
    </row>
    <row r="16" spans="1:7" ht="17.25" x14ac:dyDescent="0.3">
      <c r="A16" s="23" t="s">
        <v>7</v>
      </c>
      <c r="B16" s="22" t="s">
        <v>25</v>
      </c>
      <c r="C16" s="4" t="s">
        <v>344</v>
      </c>
      <c r="D16" s="4" t="s">
        <v>22</v>
      </c>
      <c r="E16" s="7">
        <v>345</v>
      </c>
      <c r="F16" s="5">
        <f>IFERROR(VLOOKUP(D16, Sheet2!$A:$C, 3, FALSE), 0)</f>
        <v>5999.9999999999991</v>
      </c>
      <c r="G16" s="6">
        <f t="shared" si="0"/>
        <v>2069999.9999999998</v>
      </c>
    </row>
    <row r="17" spans="1:7" ht="17.25" x14ac:dyDescent="0.3">
      <c r="A17" s="23" t="s">
        <v>7</v>
      </c>
      <c r="B17" s="22" t="s">
        <v>27</v>
      </c>
      <c r="C17" s="4" t="s">
        <v>338</v>
      </c>
      <c r="D17" s="4" t="s">
        <v>28</v>
      </c>
      <c r="E17" s="7">
        <v>644</v>
      </c>
      <c r="F17" s="5">
        <f>IFERROR(VLOOKUP(D17, Sheet2!$A:$C, 3, FALSE), 0)</f>
        <v>7899.9999999999991</v>
      </c>
      <c r="G17" s="6">
        <f t="shared" si="0"/>
        <v>5087599.9999999991</v>
      </c>
    </row>
    <row r="18" spans="1:7" ht="17.25" x14ac:dyDescent="0.3">
      <c r="A18" s="23" t="s">
        <v>7</v>
      </c>
      <c r="B18" s="22" t="s">
        <v>29</v>
      </c>
      <c r="C18" s="4" t="s">
        <v>338</v>
      </c>
      <c r="D18" s="4" t="s">
        <v>28</v>
      </c>
      <c r="E18" s="7">
        <v>469</v>
      </c>
      <c r="F18" s="5">
        <f>IFERROR(VLOOKUP(D18, Sheet2!$A:$C, 3, FALSE), 0)</f>
        <v>7899.9999999999991</v>
      </c>
      <c r="G18" s="6">
        <f t="shared" si="0"/>
        <v>3705099.9999999995</v>
      </c>
    </row>
    <row r="19" spans="1:7" ht="17.25" x14ac:dyDescent="0.3">
      <c r="A19" s="23" t="s">
        <v>7</v>
      </c>
      <c r="B19" s="22" t="s">
        <v>30</v>
      </c>
      <c r="C19" s="4" t="s">
        <v>337</v>
      </c>
      <c r="D19" s="4" t="s">
        <v>12</v>
      </c>
      <c r="E19" s="7">
        <v>466</v>
      </c>
      <c r="F19" s="5">
        <f>IFERROR(VLOOKUP(D19, Sheet2!$A:$C, 3, FALSE), 0)</f>
        <v>26363.63636363636</v>
      </c>
      <c r="G19" s="6">
        <f t="shared" si="0"/>
        <v>12285454.545454543</v>
      </c>
    </row>
    <row r="20" spans="1:7" ht="17.25" x14ac:dyDescent="0.3">
      <c r="A20" s="23" t="s">
        <v>7</v>
      </c>
      <c r="B20" s="22" t="s">
        <v>30</v>
      </c>
      <c r="C20" s="4" t="s">
        <v>344</v>
      </c>
      <c r="D20" s="4" t="s">
        <v>15</v>
      </c>
      <c r="E20" s="7">
        <v>234</v>
      </c>
      <c r="F20" s="5">
        <f>IFERROR(VLOOKUP(D20, Sheet2!$A:$C, 3, FALSE), 0)</f>
        <v>3863.6363636363635</v>
      </c>
      <c r="G20" s="6">
        <f t="shared" si="0"/>
        <v>904090.90909090906</v>
      </c>
    </row>
    <row r="21" spans="1:7" ht="17.25" x14ac:dyDescent="0.3">
      <c r="A21" s="23" t="s">
        <v>7</v>
      </c>
      <c r="B21" s="22" t="s">
        <v>31</v>
      </c>
      <c r="C21" s="4" t="s">
        <v>344</v>
      </c>
      <c r="D21" s="4" t="s">
        <v>32</v>
      </c>
      <c r="E21" s="7">
        <v>698</v>
      </c>
      <c r="F21" s="5">
        <f>IFERROR(VLOOKUP(D21, Sheet2!$A:$C, 3, FALSE), 0)</f>
        <v>4363.6363636363631</v>
      </c>
      <c r="G21" s="6">
        <f t="shared" si="0"/>
        <v>3045818.1818181812</v>
      </c>
    </row>
    <row r="22" spans="1:7" ht="17.25" x14ac:dyDescent="0.3">
      <c r="A22" s="22" t="s">
        <v>7</v>
      </c>
      <c r="B22" s="22" t="s">
        <v>33</v>
      </c>
      <c r="C22" s="4" t="s">
        <v>337</v>
      </c>
      <c r="D22" s="4" t="s">
        <v>12</v>
      </c>
      <c r="E22" s="7">
        <v>375</v>
      </c>
      <c r="F22" s="5">
        <f>IFERROR(VLOOKUP(D22, Sheet2!$A:$C, 3, FALSE), 0)</f>
        <v>26363.63636363636</v>
      </c>
      <c r="G22" s="6">
        <f t="shared" si="0"/>
        <v>9886363.6363636348</v>
      </c>
    </row>
    <row r="23" spans="1:7" ht="17.25" x14ac:dyDescent="0.3">
      <c r="A23" s="22" t="s">
        <v>7</v>
      </c>
      <c r="B23" s="22" t="s">
        <v>33</v>
      </c>
      <c r="C23" s="4" t="s">
        <v>344</v>
      </c>
      <c r="D23" s="4" t="s">
        <v>15</v>
      </c>
      <c r="E23" s="7">
        <v>188</v>
      </c>
      <c r="F23" s="5">
        <f>IFERROR(VLOOKUP(D23, Sheet2!$A:$C, 3, FALSE), 0)</f>
        <v>3863.6363636363635</v>
      </c>
      <c r="G23" s="6">
        <f t="shared" si="0"/>
        <v>726363.63636363635</v>
      </c>
    </row>
    <row r="24" spans="1:7" ht="17.25" x14ac:dyDescent="0.3">
      <c r="A24" s="23" t="s">
        <v>34</v>
      </c>
      <c r="B24" s="22" t="s">
        <v>8</v>
      </c>
      <c r="C24" s="4" t="s">
        <v>342</v>
      </c>
      <c r="D24" s="4" t="s">
        <v>35</v>
      </c>
      <c r="E24" s="7">
        <v>110</v>
      </c>
      <c r="F24" s="5">
        <f>IFERROR(VLOOKUP(D24, Sheet2!$A:$C, 3, FALSE), 0)</f>
        <v>8363.6363636363621</v>
      </c>
      <c r="G24" s="6">
        <f t="shared" si="0"/>
        <v>919999.99999999988</v>
      </c>
    </row>
    <row r="25" spans="1:7" ht="17.25" x14ac:dyDescent="0.3">
      <c r="A25" s="23" t="s">
        <v>34</v>
      </c>
      <c r="B25" s="22" t="s">
        <v>8</v>
      </c>
      <c r="C25" s="4" t="s">
        <v>338</v>
      </c>
      <c r="D25" s="4" t="s">
        <v>36</v>
      </c>
      <c r="E25" s="7">
        <v>188</v>
      </c>
      <c r="F25" s="5">
        <f>IFERROR(VLOOKUP(D25, Sheet2!$A:$C, 3, FALSE), 0)</f>
        <v>7899.9999999999991</v>
      </c>
      <c r="G25" s="6">
        <f t="shared" si="0"/>
        <v>1485199.9999999998</v>
      </c>
    </row>
    <row r="26" spans="1:7" ht="17.25" x14ac:dyDescent="0.3">
      <c r="A26" s="23" t="s">
        <v>34</v>
      </c>
      <c r="B26" s="22" t="s">
        <v>8</v>
      </c>
      <c r="C26" s="4" t="s">
        <v>216</v>
      </c>
      <c r="D26" s="4" t="s">
        <v>37</v>
      </c>
      <c r="E26" s="7">
        <v>397</v>
      </c>
      <c r="F26" s="5">
        <f>IFERROR(VLOOKUP(D26, Sheet2!$A:$C, 3, FALSE), 0)</f>
        <v>6799.9999999999991</v>
      </c>
      <c r="G26" s="6">
        <f t="shared" si="0"/>
        <v>2699599.9999999995</v>
      </c>
    </row>
    <row r="27" spans="1:7" ht="17.25" x14ac:dyDescent="0.3">
      <c r="A27" s="23" t="s">
        <v>34</v>
      </c>
      <c r="B27" s="22" t="s">
        <v>11</v>
      </c>
      <c r="C27" s="4" t="s">
        <v>344</v>
      </c>
      <c r="D27" s="4" t="s">
        <v>38</v>
      </c>
      <c r="E27" s="7">
        <v>479</v>
      </c>
      <c r="F27" s="5">
        <f>IFERROR(VLOOKUP(D27, Sheet2!$A:$C, 3, FALSE), 0)</f>
        <v>5909.090909090909</v>
      </c>
      <c r="G27" s="6">
        <f t="shared" si="0"/>
        <v>2830454.5454545454</v>
      </c>
    </row>
    <row r="28" spans="1:7" ht="17.25" x14ac:dyDescent="0.3">
      <c r="A28" s="23" t="s">
        <v>34</v>
      </c>
      <c r="B28" s="22" t="s">
        <v>16</v>
      </c>
      <c r="C28" s="4" t="s">
        <v>344</v>
      </c>
      <c r="D28" s="4" t="s">
        <v>39</v>
      </c>
      <c r="E28" s="7">
        <v>174</v>
      </c>
      <c r="F28" s="5">
        <f>IFERROR(VLOOKUP(D28, Sheet2!$A:$C, 3, FALSE), 0)</f>
        <v>3863.6363636363635</v>
      </c>
      <c r="G28" s="6">
        <f t="shared" si="0"/>
        <v>672272.72727272729</v>
      </c>
    </row>
    <row r="29" spans="1:7" ht="17.25" x14ac:dyDescent="0.3">
      <c r="A29" s="23" t="s">
        <v>34</v>
      </c>
      <c r="B29" s="22" t="s">
        <v>16</v>
      </c>
      <c r="C29" s="4" t="s">
        <v>341</v>
      </c>
      <c r="D29" s="4" t="s">
        <v>17</v>
      </c>
      <c r="E29" s="7">
        <v>83</v>
      </c>
      <c r="F29" s="5">
        <f>IFERROR(VLOOKUP(D29, Sheet2!$A:$C, 3, FALSE), 0)</f>
        <v>11700</v>
      </c>
      <c r="G29" s="6">
        <f t="shared" si="0"/>
        <v>971100</v>
      </c>
    </row>
    <row r="30" spans="1:7" ht="17.25" x14ac:dyDescent="0.3">
      <c r="A30" s="23" t="s">
        <v>34</v>
      </c>
      <c r="B30" s="22" t="s">
        <v>27</v>
      </c>
      <c r="C30" s="4" t="s">
        <v>344</v>
      </c>
      <c r="D30" s="4" t="s">
        <v>40</v>
      </c>
      <c r="E30" s="7">
        <v>598</v>
      </c>
      <c r="F30" s="5">
        <f>IFERROR(VLOOKUP(D30, Sheet2!$A:$C, 3, FALSE), 0)</f>
        <v>4363.6363636363631</v>
      </c>
      <c r="G30" s="6">
        <f t="shared" si="0"/>
        <v>2609454.5454545449</v>
      </c>
    </row>
    <row r="31" spans="1:7" ht="17.25" x14ac:dyDescent="0.3">
      <c r="A31" s="23" t="s">
        <v>34</v>
      </c>
      <c r="B31" s="22" t="s">
        <v>41</v>
      </c>
      <c r="C31" s="4" t="s">
        <v>344</v>
      </c>
      <c r="D31" s="4" t="s">
        <v>42</v>
      </c>
      <c r="E31" s="7">
        <v>1346</v>
      </c>
      <c r="F31" s="5">
        <f>IFERROR(VLOOKUP(D31, Sheet2!$A:$C, 3, FALSE), 0)</f>
        <v>3999.9999999999995</v>
      </c>
      <c r="G31" s="6">
        <f t="shared" si="0"/>
        <v>5383999.9999999991</v>
      </c>
    </row>
    <row r="32" spans="1:7" ht="17.25" x14ac:dyDescent="0.3">
      <c r="A32" s="23" t="s">
        <v>34</v>
      </c>
      <c r="B32" s="22" t="s">
        <v>43</v>
      </c>
      <c r="C32" s="4" t="s">
        <v>344</v>
      </c>
      <c r="D32" s="4" t="s">
        <v>22</v>
      </c>
      <c r="E32" s="7">
        <v>220</v>
      </c>
      <c r="F32" s="5">
        <f>IFERROR(VLOOKUP(D32, Sheet2!$A:$C, 3, FALSE), 0)</f>
        <v>5999.9999999999991</v>
      </c>
      <c r="G32" s="6">
        <f t="shared" si="0"/>
        <v>1319999.9999999998</v>
      </c>
    </row>
    <row r="33" spans="1:7" ht="17.25" x14ac:dyDescent="0.3">
      <c r="A33" s="23" t="s">
        <v>34</v>
      </c>
      <c r="B33" s="22" t="s">
        <v>29</v>
      </c>
      <c r="C33" s="4" t="s">
        <v>344</v>
      </c>
      <c r="D33" s="4" t="s">
        <v>40</v>
      </c>
      <c r="E33" s="7">
        <v>489</v>
      </c>
      <c r="F33" s="5">
        <f>IFERROR(VLOOKUP(D33, Sheet2!$A:$C, 3, FALSE), 0)</f>
        <v>4363.6363636363631</v>
      </c>
      <c r="G33" s="6">
        <f t="shared" si="0"/>
        <v>2133818.1818181816</v>
      </c>
    </row>
    <row r="34" spans="1:7" ht="17.25" x14ac:dyDescent="0.3">
      <c r="A34" s="23" t="s">
        <v>34</v>
      </c>
      <c r="B34" s="22" t="s">
        <v>30</v>
      </c>
      <c r="C34" s="4" t="s">
        <v>344</v>
      </c>
      <c r="D34" s="4" t="s">
        <v>44</v>
      </c>
      <c r="E34" s="7">
        <v>297</v>
      </c>
      <c r="F34" s="5">
        <f>IFERROR(VLOOKUP(D34, Sheet2!$A:$C, 3, FALSE), 0)</f>
        <v>5909.090909090909</v>
      </c>
      <c r="G34" s="6">
        <f t="shared" si="0"/>
        <v>1755000</v>
      </c>
    </row>
    <row r="35" spans="1:7" ht="17.25" x14ac:dyDescent="0.3">
      <c r="A35" s="23" t="s">
        <v>34</v>
      </c>
      <c r="B35" s="22" t="s">
        <v>30</v>
      </c>
      <c r="C35" s="4" t="s">
        <v>343</v>
      </c>
      <c r="D35" s="4" t="s">
        <v>45</v>
      </c>
      <c r="E35" s="7">
        <v>532</v>
      </c>
      <c r="F35" s="5">
        <f>IFERROR(VLOOKUP(D35, Sheet2!$A:$C, 3, FALSE), 0)</f>
        <v>10909.090909090908</v>
      </c>
      <c r="G35" s="6">
        <f t="shared" si="0"/>
        <v>5803636.3636363633</v>
      </c>
    </row>
    <row r="36" spans="1:7" ht="17.25" x14ac:dyDescent="0.3">
      <c r="A36" s="23" t="s">
        <v>34</v>
      </c>
      <c r="B36" s="22" t="s">
        <v>46</v>
      </c>
      <c r="C36" s="4" t="s">
        <v>344</v>
      </c>
      <c r="D36" s="4" t="s">
        <v>22</v>
      </c>
      <c r="E36" s="7">
        <v>251</v>
      </c>
      <c r="F36" s="5">
        <f>IFERROR(VLOOKUP(D36, Sheet2!$A:$C, 3, FALSE), 0)</f>
        <v>5999.9999999999991</v>
      </c>
      <c r="G36" s="6">
        <f t="shared" si="0"/>
        <v>1505999.9999999998</v>
      </c>
    </row>
    <row r="37" spans="1:7" ht="17.25" x14ac:dyDescent="0.3">
      <c r="A37" s="23" t="s">
        <v>34</v>
      </c>
      <c r="B37" s="22" t="s">
        <v>31</v>
      </c>
      <c r="C37" s="4" t="s">
        <v>343</v>
      </c>
      <c r="D37" s="4" t="s">
        <v>45</v>
      </c>
      <c r="E37" s="7">
        <v>1023</v>
      </c>
      <c r="F37" s="5">
        <f>IFERROR(VLOOKUP(D37, Sheet2!$A:$C, 3, FALSE), 0)</f>
        <v>10909.090909090908</v>
      </c>
      <c r="G37" s="6">
        <f t="shared" si="0"/>
        <v>11159999.999999998</v>
      </c>
    </row>
    <row r="38" spans="1:7" ht="17.25" x14ac:dyDescent="0.3">
      <c r="A38" s="22" t="s">
        <v>34</v>
      </c>
      <c r="B38" s="22" t="s">
        <v>33</v>
      </c>
      <c r="C38" s="4" t="s">
        <v>344</v>
      </c>
      <c r="D38" s="4" t="s">
        <v>44</v>
      </c>
      <c r="E38" s="7">
        <v>224</v>
      </c>
      <c r="F38" s="5">
        <f>IFERROR(VLOOKUP(D38, Sheet2!$A:$C, 3, FALSE), 0)</f>
        <v>5909.090909090909</v>
      </c>
      <c r="G38" s="6">
        <f t="shared" si="0"/>
        <v>1323636.3636363635</v>
      </c>
    </row>
    <row r="39" spans="1:7" ht="17.25" x14ac:dyDescent="0.3">
      <c r="A39" s="22" t="s">
        <v>34</v>
      </c>
      <c r="B39" s="22" t="s">
        <v>33</v>
      </c>
      <c r="C39" s="4" t="s">
        <v>343</v>
      </c>
      <c r="D39" s="4" t="s">
        <v>45</v>
      </c>
      <c r="E39" s="7">
        <v>444</v>
      </c>
      <c r="F39" s="5">
        <f>IFERROR(VLOOKUP(D39, Sheet2!$A:$C, 3, FALSE), 0)</f>
        <v>10909.090909090908</v>
      </c>
      <c r="G39" s="6">
        <f t="shared" si="0"/>
        <v>4843636.3636363633</v>
      </c>
    </row>
    <row r="40" spans="1:7" ht="17.25" x14ac:dyDescent="0.3">
      <c r="A40" s="23" t="s">
        <v>47</v>
      </c>
      <c r="B40" s="22" t="s">
        <v>48</v>
      </c>
      <c r="C40" s="4" t="s">
        <v>344</v>
      </c>
      <c r="D40" s="4" t="s">
        <v>22</v>
      </c>
      <c r="E40" s="7">
        <v>190</v>
      </c>
      <c r="F40" s="5">
        <f>IFERROR(VLOOKUP(D40, Sheet2!$A:$C, 3, FALSE), 0)</f>
        <v>5999.9999999999991</v>
      </c>
      <c r="G40" s="6">
        <f t="shared" si="0"/>
        <v>1139999.9999999998</v>
      </c>
    </row>
    <row r="41" spans="1:7" ht="17.25" x14ac:dyDescent="0.3">
      <c r="A41" s="23" t="s">
        <v>47</v>
      </c>
      <c r="B41" s="22" t="s">
        <v>21</v>
      </c>
      <c r="C41" s="4" t="s">
        <v>340</v>
      </c>
      <c r="D41" s="4" t="s">
        <v>49</v>
      </c>
      <c r="E41" s="7">
        <v>250</v>
      </c>
      <c r="F41" s="5">
        <f>IFERROR(VLOOKUP(D41, Sheet2!$A:$C, 3, FALSE), 0)</f>
        <v>38000</v>
      </c>
      <c r="G41" s="6">
        <f t="shared" si="0"/>
        <v>9500000</v>
      </c>
    </row>
    <row r="42" spans="1:7" ht="17.25" x14ac:dyDescent="0.3">
      <c r="A42" s="23" t="s">
        <v>47</v>
      </c>
      <c r="B42" s="22" t="s">
        <v>21</v>
      </c>
      <c r="C42" s="4" t="s">
        <v>344</v>
      </c>
      <c r="D42" s="4" t="s">
        <v>44</v>
      </c>
      <c r="E42" s="7">
        <v>249</v>
      </c>
      <c r="F42" s="5">
        <f>IFERROR(VLOOKUP(D42, Sheet2!$A:$C, 3, FALSE), 0)</f>
        <v>5909.090909090909</v>
      </c>
      <c r="G42" s="6">
        <f t="shared" si="0"/>
        <v>1471363.6363636362</v>
      </c>
    </row>
    <row r="43" spans="1:7" ht="17.25" x14ac:dyDescent="0.3">
      <c r="A43" s="23" t="s">
        <v>47</v>
      </c>
      <c r="B43" s="22" t="s">
        <v>24</v>
      </c>
      <c r="C43" s="4" t="s">
        <v>341</v>
      </c>
      <c r="D43" s="4" t="s">
        <v>17</v>
      </c>
      <c r="E43" s="7">
        <v>58</v>
      </c>
      <c r="F43" s="5">
        <f>IFERROR(VLOOKUP(D43, Sheet2!$A:$C, 3, FALSE), 0)</f>
        <v>11700</v>
      </c>
      <c r="G43" s="6">
        <f t="shared" si="0"/>
        <v>678600</v>
      </c>
    </row>
    <row r="44" spans="1:7" ht="17.25" x14ac:dyDescent="0.3">
      <c r="A44" s="23" t="s">
        <v>50</v>
      </c>
      <c r="B44" s="22" t="s">
        <v>48</v>
      </c>
      <c r="C44" s="4" t="s">
        <v>344</v>
      </c>
      <c r="D44" s="4" t="s">
        <v>22</v>
      </c>
      <c r="E44" s="7">
        <v>189</v>
      </c>
      <c r="F44" s="5">
        <f>IFERROR(VLOOKUP(D44, Sheet2!$A:$C, 3, FALSE), 0)</f>
        <v>5999.9999999999991</v>
      </c>
      <c r="G44" s="6">
        <f t="shared" si="0"/>
        <v>1133999.9999999998</v>
      </c>
    </row>
    <row r="45" spans="1:7" ht="17.25" x14ac:dyDescent="0.3">
      <c r="A45" s="23" t="s">
        <v>50</v>
      </c>
      <c r="B45" s="22" t="s">
        <v>51</v>
      </c>
      <c r="C45" s="4" t="s">
        <v>337</v>
      </c>
      <c r="D45" s="4" t="s">
        <v>9</v>
      </c>
      <c r="E45" s="7">
        <v>483</v>
      </c>
      <c r="F45" s="5">
        <f>IFERROR(VLOOKUP(D45, Sheet2!$A:$C, 3, FALSE), 0)</f>
        <v>18636.363636363636</v>
      </c>
      <c r="G45" s="6">
        <f t="shared" si="0"/>
        <v>9001363.6363636367</v>
      </c>
    </row>
    <row r="46" spans="1:7" ht="17.25" x14ac:dyDescent="0.3">
      <c r="A46" s="23" t="s">
        <v>50</v>
      </c>
      <c r="B46" s="22" t="s">
        <v>14</v>
      </c>
      <c r="C46" s="4" t="s">
        <v>344</v>
      </c>
      <c r="D46" s="4" t="s">
        <v>52</v>
      </c>
      <c r="E46" s="7">
        <v>463</v>
      </c>
      <c r="F46" s="5">
        <f>IFERROR(VLOOKUP(D46, Sheet2!$A:$C, 3, FALSE), 0)</f>
        <v>5999.9999999999991</v>
      </c>
      <c r="G46" s="6">
        <f t="shared" si="0"/>
        <v>2777999.9999999995</v>
      </c>
    </row>
    <row r="47" spans="1:7" ht="17.25" x14ac:dyDescent="0.3">
      <c r="A47" s="23" t="s">
        <v>50</v>
      </c>
      <c r="B47" s="22" t="s">
        <v>16</v>
      </c>
      <c r="C47" s="4" t="s">
        <v>344</v>
      </c>
      <c r="D47" s="4" t="s">
        <v>53</v>
      </c>
      <c r="E47" s="7">
        <v>844</v>
      </c>
      <c r="F47" s="5">
        <f>IFERROR(VLOOKUP(D47, Sheet2!$A:$C, 3, FALSE), 0)</f>
        <v>5818.181818181818</v>
      </c>
      <c r="G47" s="6">
        <f t="shared" si="0"/>
        <v>4910545.4545454541</v>
      </c>
    </row>
    <row r="48" spans="1:7" ht="17.25" x14ac:dyDescent="0.3">
      <c r="A48" s="23" t="s">
        <v>50</v>
      </c>
      <c r="B48" s="22" t="s">
        <v>41</v>
      </c>
      <c r="C48" s="4" t="s">
        <v>338</v>
      </c>
      <c r="D48" s="4" t="s">
        <v>54</v>
      </c>
      <c r="E48" s="7">
        <v>1298</v>
      </c>
      <c r="F48" s="5">
        <f>IFERROR(VLOOKUP(D48, Sheet2!$A:$C, 3, FALSE), 0)</f>
        <v>7899.9999999999991</v>
      </c>
      <c r="G48" s="6">
        <f t="shared" si="0"/>
        <v>10254199.999999998</v>
      </c>
    </row>
    <row r="49" spans="1:7" ht="17.25" x14ac:dyDescent="0.3">
      <c r="A49" s="23" t="s">
        <v>50</v>
      </c>
      <c r="B49" s="22" t="s">
        <v>30</v>
      </c>
      <c r="C49" s="4" t="s">
        <v>337</v>
      </c>
      <c r="D49" s="4" t="s">
        <v>55</v>
      </c>
      <c r="E49" s="7">
        <v>1156</v>
      </c>
      <c r="F49" s="5">
        <f>IFERROR(VLOOKUP(D49, Sheet2!$A:$C, 3, FALSE), 0)</f>
        <v>14899.999999999998</v>
      </c>
      <c r="G49" s="6">
        <f t="shared" si="0"/>
        <v>17224399.999999996</v>
      </c>
    </row>
    <row r="50" spans="1:7" ht="17.25" x14ac:dyDescent="0.3">
      <c r="A50" s="23" t="s">
        <v>50</v>
      </c>
      <c r="B50" s="22" t="s">
        <v>46</v>
      </c>
      <c r="C50" s="4" t="s">
        <v>344</v>
      </c>
      <c r="D50" s="4" t="s">
        <v>56</v>
      </c>
      <c r="E50" s="7">
        <v>302</v>
      </c>
      <c r="F50" s="5">
        <f>IFERROR(VLOOKUP(D50, Sheet2!$A:$C, 3, FALSE), 0)</f>
        <v>5545.454545454545</v>
      </c>
      <c r="G50" s="6">
        <f t="shared" si="0"/>
        <v>1674727.2727272727</v>
      </c>
    </row>
    <row r="51" spans="1:7" ht="17.25" x14ac:dyDescent="0.3">
      <c r="A51" s="23" t="s">
        <v>50</v>
      </c>
      <c r="B51" s="22" t="s">
        <v>33</v>
      </c>
      <c r="C51" s="4" t="s">
        <v>337</v>
      </c>
      <c r="D51" s="4" t="s">
        <v>55</v>
      </c>
      <c r="E51" s="7">
        <v>994</v>
      </c>
      <c r="F51" s="5">
        <f>IFERROR(VLOOKUP(D51, Sheet2!$A:$C, 3, FALSE), 0)</f>
        <v>14899.999999999998</v>
      </c>
      <c r="G51" s="6">
        <f t="shared" si="0"/>
        <v>14810599.999999998</v>
      </c>
    </row>
    <row r="52" spans="1:7" ht="17.25" x14ac:dyDescent="0.3">
      <c r="A52" s="23" t="s">
        <v>57</v>
      </c>
      <c r="B52" s="22" t="s">
        <v>16</v>
      </c>
      <c r="C52" s="4" t="s">
        <v>341</v>
      </c>
      <c r="D52" s="4" t="s">
        <v>17</v>
      </c>
      <c r="E52" s="10">
        <v>223</v>
      </c>
      <c r="F52" s="5">
        <f>IFERROR(VLOOKUP(D52, Sheet2!$A:$C, 3, FALSE), 0)</f>
        <v>11700</v>
      </c>
      <c r="G52" s="6">
        <f t="shared" si="0"/>
        <v>2609100</v>
      </c>
    </row>
    <row r="53" spans="1:7" ht="17.25" x14ac:dyDescent="0.3">
      <c r="A53" s="23" t="s">
        <v>58</v>
      </c>
      <c r="B53" s="22" t="s">
        <v>48</v>
      </c>
      <c r="C53" s="4" t="s">
        <v>344</v>
      </c>
      <c r="D53" s="4" t="s">
        <v>59</v>
      </c>
      <c r="E53" s="7">
        <v>196</v>
      </c>
      <c r="F53" s="5">
        <f>IFERROR(VLOOKUP(D53, Sheet2!$A:$C, 3, FALSE), 0)</f>
        <v>4681.8181818181811</v>
      </c>
      <c r="G53" s="6">
        <f t="shared" si="0"/>
        <v>917636.36363636353</v>
      </c>
    </row>
    <row r="54" spans="1:7" ht="17.25" x14ac:dyDescent="0.3">
      <c r="A54" s="23" t="s">
        <v>58</v>
      </c>
      <c r="B54" s="22" t="s">
        <v>60</v>
      </c>
      <c r="C54" s="4" t="s">
        <v>343</v>
      </c>
      <c r="D54" s="4" t="s">
        <v>45</v>
      </c>
      <c r="E54" s="7">
        <v>287</v>
      </c>
      <c r="F54" s="5">
        <f>IFERROR(VLOOKUP(D54, Sheet2!$A:$C, 3, FALSE), 0)</f>
        <v>10909.090909090908</v>
      </c>
      <c r="G54" s="6">
        <f t="shared" si="0"/>
        <v>3130909.0909090908</v>
      </c>
    </row>
    <row r="55" spans="1:7" ht="17.25" x14ac:dyDescent="0.3">
      <c r="A55" s="23" t="s">
        <v>58</v>
      </c>
      <c r="B55" s="22" t="s">
        <v>21</v>
      </c>
      <c r="C55" s="4" t="s">
        <v>344</v>
      </c>
      <c r="D55" s="4" t="s">
        <v>52</v>
      </c>
      <c r="E55" s="7">
        <v>78</v>
      </c>
      <c r="F55" s="5">
        <f>IFERROR(VLOOKUP(D55, Sheet2!$A:$C, 3, FALSE), 0)</f>
        <v>5999.9999999999991</v>
      </c>
      <c r="G55" s="6">
        <f t="shared" si="0"/>
        <v>467999.99999999994</v>
      </c>
    </row>
    <row r="56" spans="1:7" ht="17.25" x14ac:dyDescent="0.3">
      <c r="A56" s="23" t="s">
        <v>58</v>
      </c>
      <c r="B56" s="22" t="s">
        <v>23</v>
      </c>
      <c r="C56" s="4" t="s">
        <v>342</v>
      </c>
      <c r="D56" s="4" t="s">
        <v>61</v>
      </c>
      <c r="E56" s="7">
        <v>74</v>
      </c>
      <c r="F56" s="5">
        <f>IFERROR(VLOOKUP(D56, Sheet2!$A:$C, 3, FALSE), 0)</f>
        <v>7363.6363636363631</v>
      </c>
      <c r="G56" s="6">
        <f t="shared" si="0"/>
        <v>544909.09090909082</v>
      </c>
    </row>
    <row r="57" spans="1:7" ht="17.25" x14ac:dyDescent="0.3">
      <c r="A57" s="23" t="s">
        <v>58</v>
      </c>
      <c r="B57" s="22" t="s">
        <v>23</v>
      </c>
      <c r="C57" s="4" t="s">
        <v>342</v>
      </c>
      <c r="D57" s="4" t="s">
        <v>61</v>
      </c>
      <c r="E57" s="7">
        <v>60</v>
      </c>
      <c r="F57" s="5">
        <f>IFERROR(VLOOKUP(D57, Sheet2!$A:$C, 3, FALSE), 0)</f>
        <v>7363.6363636363631</v>
      </c>
      <c r="G57" s="6">
        <f t="shared" si="0"/>
        <v>441818.18181818177</v>
      </c>
    </row>
    <row r="58" spans="1:7" ht="17.25" x14ac:dyDescent="0.3">
      <c r="A58" s="23" t="s">
        <v>58</v>
      </c>
      <c r="B58" s="22" t="s">
        <v>24</v>
      </c>
      <c r="C58" s="4" t="s">
        <v>344</v>
      </c>
      <c r="D58" s="4" t="s">
        <v>22</v>
      </c>
      <c r="E58" s="7">
        <v>245</v>
      </c>
      <c r="F58" s="5">
        <f>IFERROR(VLOOKUP(D58, Sheet2!$A:$C, 3, FALSE), 0)</f>
        <v>5999.9999999999991</v>
      </c>
      <c r="G58" s="6">
        <f t="shared" si="0"/>
        <v>1469999.9999999998</v>
      </c>
    </row>
    <row r="59" spans="1:7" ht="17.25" x14ac:dyDescent="0.3">
      <c r="A59" s="23" t="s">
        <v>58</v>
      </c>
      <c r="B59" s="22" t="s">
        <v>24</v>
      </c>
      <c r="C59" s="4" t="s">
        <v>341</v>
      </c>
      <c r="D59" s="4" t="s">
        <v>17</v>
      </c>
      <c r="E59" s="7">
        <v>38</v>
      </c>
      <c r="F59" s="5">
        <f>IFERROR(VLOOKUP(D59, Sheet2!$A:$C, 3, FALSE), 0)</f>
        <v>11700</v>
      </c>
      <c r="G59" s="6">
        <f t="shared" si="0"/>
        <v>444600</v>
      </c>
    </row>
    <row r="60" spans="1:7" ht="17.25" x14ac:dyDescent="0.3">
      <c r="A60" s="23" t="s">
        <v>62</v>
      </c>
      <c r="B60" s="22" t="s">
        <v>63</v>
      </c>
      <c r="C60" s="4" t="s">
        <v>337</v>
      </c>
      <c r="D60" s="4" t="s">
        <v>64</v>
      </c>
      <c r="E60" s="7">
        <v>1655</v>
      </c>
      <c r="F60" s="5">
        <f>IFERROR(VLOOKUP(D60, Sheet2!$A:$C, 3, FALSE), 0)</f>
        <v>14545.454545454544</v>
      </c>
      <c r="G60" s="6">
        <f t="shared" si="0"/>
        <v>24072727.27272727</v>
      </c>
    </row>
    <row r="61" spans="1:7" ht="17.25" x14ac:dyDescent="0.3">
      <c r="A61" s="23" t="s">
        <v>62</v>
      </c>
      <c r="B61" s="22" t="s">
        <v>48</v>
      </c>
      <c r="C61" s="4" t="s">
        <v>344</v>
      </c>
      <c r="D61" s="4" t="s">
        <v>59</v>
      </c>
      <c r="E61" s="7">
        <v>183</v>
      </c>
      <c r="F61" s="5">
        <f>IFERROR(VLOOKUP(D61, Sheet2!$A:$C, 3, FALSE), 0)</f>
        <v>4681.8181818181811</v>
      </c>
      <c r="G61" s="6">
        <f t="shared" si="0"/>
        <v>856772.72727272718</v>
      </c>
    </row>
    <row r="62" spans="1:7" ht="17.25" x14ac:dyDescent="0.3">
      <c r="A62" s="23" t="s">
        <v>62</v>
      </c>
      <c r="B62" s="22" t="s">
        <v>48</v>
      </c>
      <c r="C62" s="4" t="s">
        <v>344</v>
      </c>
      <c r="D62" s="4" t="s">
        <v>52</v>
      </c>
      <c r="E62" s="7">
        <v>477</v>
      </c>
      <c r="F62" s="5">
        <f>IFERROR(VLOOKUP(D62, Sheet2!$A:$C, 3, FALSE), 0)</f>
        <v>5999.9999999999991</v>
      </c>
      <c r="G62" s="6">
        <f t="shared" si="0"/>
        <v>2861999.9999999995</v>
      </c>
    </row>
    <row r="63" spans="1:7" ht="17.25" x14ac:dyDescent="0.3">
      <c r="A63" s="23" t="s">
        <v>62</v>
      </c>
      <c r="B63" s="22" t="s">
        <v>16</v>
      </c>
      <c r="C63" s="4" t="s">
        <v>341</v>
      </c>
      <c r="D63" s="4" t="s">
        <v>17</v>
      </c>
      <c r="E63" s="7">
        <v>100</v>
      </c>
      <c r="F63" s="5">
        <f>IFERROR(VLOOKUP(D63, Sheet2!$A:$C, 3, FALSE), 0)</f>
        <v>11700</v>
      </c>
      <c r="G63" s="6">
        <f t="shared" si="0"/>
        <v>1170000</v>
      </c>
    </row>
    <row r="64" spans="1:7" ht="17.25" x14ac:dyDescent="0.3">
      <c r="A64" s="22" t="s">
        <v>62</v>
      </c>
      <c r="B64" s="22" t="s">
        <v>11</v>
      </c>
      <c r="C64" s="4" t="s">
        <v>339</v>
      </c>
      <c r="D64" s="4" t="s">
        <v>65</v>
      </c>
      <c r="E64" s="7">
        <v>31</v>
      </c>
      <c r="F64" s="5">
        <f>IFERROR(VLOOKUP(D64, Sheet2!$A:$C, 3, FALSE), 0)</f>
        <v>16199.999999999998</v>
      </c>
      <c r="G64" s="6">
        <f t="shared" si="0"/>
        <v>502199.99999999994</v>
      </c>
    </row>
    <row r="65" spans="1:7" ht="17.25" x14ac:dyDescent="0.3">
      <c r="A65" s="23" t="s">
        <v>62</v>
      </c>
      <c r="B65" s="22" t="s">
        <v>66</v>
      </c>
      <c r="C65" s="4" t="s">
        <v>339</v>
      </c>
      <c r="D65" s="4" t="s">
        <v>67</v>
      </c>
      <c r="E65" s="7">
        <v>1136</v>
      </c>
      <c r="F65" s="5">
        <f>IFERROR(VLOOKUP(D65, Sheet2!$A:$C, 3, FALSE), 0)</f>
        <v>10818.181818181818</v>
      </c>
      <c r="G65" s="6">
        <f t="shared" si="0"/>
        <v>12289454.545454545</v>
      </c>
    </row>
    <row r="66" spans="1:7" ht="17.25" x14ac:dyDescent="0.3">
      <c r="A66" s="23" t="s">
        <v>62</v>
      </c>
      <c r="B66" s="22" t="s">
        <v>23</v>
      </c>
      <c r="C66" s="4" t="s">
        <v>342</v>
      </c>
      <c r="D66" s="4" t="s">
        <v>61</v>
      </c>
      <c r="E66" s="7">
        <v>53</v>
      </c>
      <c r="F66" s="5">
        <f>IFERROR(VLOOKUP(D66, Sheet2!$A:$C, 3, FALSE), 0)</f>
        <v>7363.6363636363631</v>
      </c>
      <c r="G66" s="6">
        <f t="shared" si="0"/>
        <v>390272.72727272724</v>
      </c>
    </row>
    <row r="67" spans="1:7" ht="17.25" x14ac:dyDescent="0.3">
      <c r="A67" s="23" t="s">
        <v>62</v>
      </c>
      <c r="B67" s="22" t="s">
        <v>24</v>
      </c>
      <c r="C67" s="4" t="s">
        <v>341</v>
      </c>
      <c r="D67" s="4" t="s">
        <v>17</v>
      </c>
      <c r="E67" s="7">
        <v>97</v>
      </c>
      <c r="F67" s="5">
        <f>IFERROR(VLOOKUP(D67, Sheet2!$A:$C, 3, FALSE), 0)</f>
        <v>11700</v>
      </c>
      <c r="G67" s="6">
        <f t="shared" ref="G67:G130" si="1">E67*F67</f>
        <v>1134900</v>
      </c>
    </row>
    <row r="68" spans="1:7" ht="17.25" x14ac:dyDescent="0.3">
      <c r="A68" s="23" t="s">
        <v>62</v>
      </c>
      <c r="B68" s="22" t="s">
        <v>25</v>
      </c>
      <c r="C68" s="4" t="s">
        <v>342</v>
      </c>
      <c r="D68" s="4" t="s">
        <v>35</v>
      </c>
      <c r="E68" s="7">
        <v>160</v>
      </c>
      <c r="F68" s="5">
        <f>IFERROR(VLOOKUP(D68, Sheet2!$A:$C, 3, FALSE), 0)</f>
        <v>8363.6363636363621</v>
      </c>
      <c r="G68" s="6">
        <f t="shared" si="1"/>
        <v>1338181.8181818179</v>
      </c>
    </row>
    <row r="69" spans="1:7" ht="17.25" x14ac:dyDescent="0.3">
      <c r="A69" s="23" t="s">
        <v>62</v>
      </c>
      <c r="B69" s="22" t="s">
        <v>43</v>
      </c>
      <c r="C69" s="4" t="s">
        <v>342</v>
      </c>
      <c r="D69" s="4" t="s">
        <v>35</v>
      </c>
      <c r="E69" s="7">
        <v>69</v>
      </c>
      <c r="F69" s="5">
        <f>IFERROR(VLOOKUP(D69, Sheet2!$A:$C, 3, FALSE), 0)</f>
        <v>8363.6363636363621</v>
      </c>
      <c r="G69" s="6">
        <f t="shared" si="1"/>
        <v>577090.90909090894</v>
      </c>
    </row>
    <row r="70" spans="1:7" ht="17.25" x14ac:dyDescent="0.3">
      <c r="A70" s="23" t="s">
        <v>62</v>
      </c>
      <c r="B70" s="22" t="s">
        <v>43</v>
      </c>
      <c r="C70" s="4" t="s">
        <v>341</v>
      </c>
      <c r="D70" s="4" t="s">
        <v>68</v>
      </c>
      <c r="E70" s="7">
        <v>283</v>
      </c>
      <c r="F70" s="5">
        <f>IFERROR(VLOOKUP(D70, Sheet2!$A:$C, 3, FALSE), 0)</f>
        <v>13400</v>
      </c>
      <c r="G70" s="6">
        <f t="shared" si="1"/>
        <v>3792200</v>
      </c>
    </row>
    <row r="71" spans="1:7" ht="17.25" x14ac:dyDescent="0.3">
      <c r="A71" s="23" t="s">
        <v>62</v>
      </c>
      <c r="B71" s="22" t="s">
        <v>30</v>
      </c>
      <c r="C71" s="4" t="s">
        <v>344</v>
      </c>
      <c r="D71" s="4" t="s">
        <v>52</v>
      </c>
      <c r="E71" s="7">
        <v>380</v>
      </c>
      <c r="F71" s="5">
        <f>IFERROR(VLOOKUP(D71, Sheet2!$A:$C, 3, FALSE), 0)</f>
        <v>5999.9999999999991</v>
      </c>
      <c r="G71" s="6">
        <f t="shared" si="1"/>
        <v>2279999.9999999995</v>
      </c>
    </row>
    <row r="72" spans="1:7" ht="17.25" x14ac:dyDescent="0.3">
      <c r="A72" s="23" t="s">
        <v>62</v>
      </c>
      <c r="B72" s="22" t="s">
        <v>69</v>
      </c>
      <c r="C72" s="4" t="s">
        <v>337</v>
      </c>
      <c r="D72" s="4" t="s">
        <v>70</v>
      </c>
      <c r="E72" s="7">
        <v>436</v>
      </c>
      <c r="F72" s="5">
        <f>IFERROR(VLOOKUP(D72, Sheet2!$A:$C, 3, FALSE), 0)</f>
        <v>18636.363636363636</v>
      </c>
      <c r="G72" s="6">
        <f t="shared" si="1"/>
        <v>8125454.5454545449</v>
      </c>
    </row>
    <row r="73" spans="1:7" ht="17.25" x14ac:dyDescent="0.3">
      <c r="A73" s="22" t="s">
        <v>62</v>
      </c>
      <c r="B73" s="22" t="s">
        <v>33</v>
      </c>
      <c r="C73" s="4" t="s">
        <v>344</v>
      </c>
      <c r="D73" s="4" t="s">
        <v>52</v>
      </c>
      <c r="E73" s="7">
        <v>303</v>
      </c>
      <c r="F73" s="5">
        <f>IFERROR(VLOOKUP(D73, Sheet2!$A:$C, 3, FALSE), 0)</f>
        <v>5999.9999999999991</v>
      </c>
      <c r="G73" s="6">
        <f t="shared" si="1"/>
        <v>1817999.9999999998</v>
      </c>
    </row>
    <row r="74" spans="1:7" ht="17.25" x14ac:dyDescent="0.3">
      <c r="A74" s="22" t="s">
        <v>62</v>
      </c>
      <c r="B74" s="22" t="s">
        <v>23</v>
      </c>
      <c r="C74" s="4" t="s">
        <v>337</v>
      </c>
      <c r="D74" s="4" t="s">
        <v>71</v>
      </c>
      <c r="E74" s="7">
        <v>1</v>
      </c>
      <c r="F74" s="5">
        <f>IFERROR(VLOOKUP(D74, Sheet2!$A:$C, 3, FALSE), 0)</f>
        <v>61363.63636363636</v>
      </c>
      <c r="G74" s="6">
        <f t="shared" si="1"/>
        <v>61363.63636363636</v>
      </c>
    </row>
    <row r="75" spans="1:7" ht="17.25" x14ac:dyDescent="0.3">
      <c r="A75" s="23" t="s">
        <v>72</v>
      </c>
      <c r="B75" s="22" t="s">
        <v>31</v>
      </c>
      <c r="C75" s="4" t="s">
        <v>339</v>
      </c>
      <c r="D75" s="4" t="s">
        <v>10</v>
      </c>
      <c r="E75" s="7">
        <v>1032</v>
      </c>
      <c r="F75" s="5">
        <f>IFERROR(VLOOKUP(D75, Sheet2!$A:$C, 3, FALSE), 0)</f>
        <v>20818.181818181816</v>
      </c>
      <c r="G75" s="6">
        <f t="shared" si="1"/>
        <v>21484363.636363633</v>
      </c>
    </row>
    <row r="76" spans="1:7" ht="17.25" x14ac:dyDescent="0.3">
      <c r="A76" s="23" t="s">
        <v>72</v>
      </c>
      <c r="B76" s="22" t="s">
        <v>48</v>
      </c>
      <c r="C76" s="4" t="s">
        <v>344</v>
      </c>
      <c r="D76" s="4" t="s">
        <v>52</v>
      </c>
      <c r="E76" s="7">
        <v>431</v>
      </c>
      <c r="F76" s="5">
        <f>IFERROR(VLOOKUP(D76, Sheet2!$A:$C, 3, FALSE), 0)</f>
        <v>5999.9999999999991</v>
      </c>
      <c r="G76" s="6">
        <f t="shared" si="1"/>
        <v>2585999.9999999995</v>
      </c>
    </row>
    <row r="77" spans="1:7" ht="17.25" x14ac:dyDescent="0.3">
      <c r="A77" s="23" t="s">
        <v>72</v>
      </c>
      <c r="B77" s="22" t="s">
        <v>16</v>
      </c>
      <c r="C77" s="4" t="s">
        <v>341</v>
      </c>
      <c r="D77" s="4" t="s">
        <v>17</v>
      </c>
      <c r="E77" s="7">
        <v>162</v>
      </c>
      <c r="F77" s="5">
        <f>IFERROR(VLOOKUP(D77, Sheet2!$A:$C, 3, FALSE), 0)</f>
        <v>11700</v>
      </c>
      <c r="G77" s="6">
        <f t="shared" si="1"/>
        <v>1895400</v>
      </c>
    </row>
    <row r="78" spans="1:7" ht="17.25" x14ac:dyDescent="0.3">
      <c r="A78" s="23" t="s">
        <v>72</v>
      </c>
      <c r="B78" s="22" t="s">
        <v>19</v>
      </c>
      <c r="C78" s="4" t="s">
        <v>338</v>
      </c>
      <c r="D78" s="4" t="s">
        <v>73</v>
      </c>
      <c r="E78" s="7">
        <v>444</v>
      </c>
      <c r="F78" s="5">
        <f>IFERROR(VLOOKUP(D78, Sheet2!$A:$C, 3, FALSE), 0)</f>
        <v>7899.9999999999991</v>
      </c>
      <c r="G78" s="6">
        <f t="shared" si="1"/>
        <v>3507599.9999999995</v>
      </c>
    </row>
    <row r="79" spans="1:7" ht="17.25" x14ac:dyDescent="0.3">
      <c r="A79" s="23" t="s">
        <v>72</v>
      </c>
      <c r="B79" s="22" t="s">
        <v>25</v>
      </c>
      <c r="C79" s="4" t="s">
        <v>344</v>
      </c>
      <c r="D79" s="4" t="s">
        <v>44</v>
      </c>
      <c r="E79" s="7">
        <v>432</v>
      </c>
      <c r="F79" s="5">
        <f>IFERROR(VLOOKUP(D79, Sheet2!$A:$C, 3, FALSE), 0)</f>
        <v>5909.090909090909</v>
      </c>
      <c r="G79" s="6">
        <f t="shared" si="1"/>
        <v>2552727.2727272725</v>
      </c>
    </row>
    <row r="80" spans="1:7" ht="17.25" x14ac:dyDescent="0.3">
      <c r="A80" s="23" t="s">
        <v>72</v>
      </c>
      <c r="B80" s="22" t="s">
        <v>27</v>
      </c>
      <c r="C80" s="4" t="s">
        <v>337</v>
      </c>
      <c r="D80" s="4" t="s">
        <v>70</v>
      </c>
      <c r="E80" s="7">
        <v>748</v>
      </c>
      <c r="F80" s="5">
        <f>IFERROR(VLOOKUP(D80, Sheet2!$A:$C, 3, FALSE), 0)</f>
        <v>18636.363636363636</v>
      </c>
      <c r="G80" s="6">
        <f t="shared" si="1"/>
        <v>13940000</v>
      </c>
    </row>
    <row r="81" spans="1:7" ht="17.25" x14ac:dyDescent="0.3">
      <c r="A81" s="23" t="s">
        <v>72</v>
      </c>
      <c r="B81" s="22" t="s">
        <v>29</v>
      </c>
      <c r="C81" s="4" t="s">
        <v>337</v>
      </c>
      <c r="D81" s="4" t="s">
        <v>70</v>
      </c>
      <c r="E81" s="7">
        <v>550</v>
      </c>
      <c r="F81" s="5">
        <f>IFERROR(VLOOKUP(D81, Sheet2!$A:$C, 3, FALSE), 0)</f>
        <v>18636.363636363636</v>
      </c>
      <c r="G81" s="6">
        <f t="shared" si="1"/>
        <v>10250000</v>
      </c>
    </row>
    <row r="82" spans="1:7" ht="17.25" x14ac:dyDescent="0.3">
      <c r="A82" s="23" t="s">
        <v>72</v>
      </c>
      <c r="B82" s="22" t="s">
        <v>46</v>
      </c>
      <c r="C82" s="4" t="s">
        <v>344</v>
      </c>
      <c r="D82" s="4" t="s">
        <v>56</v>
      </c>
      <c r="E82" s="7">
        <v>459</v>
      </c>
      <c r="F82" s="5">
        <f>IFERROR(VLOOKUP(D82, Sheet2!$A:$C, 3, FALSE), 0)</f>
        <v>5545.454545454545</v>
      </c>
      <c r="G82" s="6">
        <f t="shared" si="1"/>
        <v>2545363.6363636362</v>
      </c>
    </row>
    <row r="83" spans="1:7" ht="17.25" x14ac:dyDescent="0.3">
      <c r="A83" s="23" t="s">
        <v>74</v>
      </c>
      <c r="B83" s="22" t="s">
        <v>48</v>
      </c>
      <c r="C83" s="4" t="s">
        <v>344</v>
      </c>
      <c r="D83" s="4" t="s">
        <v>22</v>
      </c>
      <c r="E83" s="7">
        <v>96</v>
      </c>
      <c r="F83" s="5">
        <f>IFERROR(VLOOKUP(D83, Sheet2!$A:$C, 3, FALSE), 0)</f>
        <v>5999.9999999999991</v>
      </c>
      <c r="G83" s="6">
        <f t="shared" si="1"/>
        <v>575999.99999999988</v>
      </c>
    </row>
    <row r="84" spans="1:7" ht="17.25" x14ac:dyDescent="0.3">
      <c r="A84" s="23" t="s">
        <v>74</v>
      </c>
      <c r="B84" s="22" t="s">
        <v>75</v>
      </c>
      <c r="C84" s="4" t="s">
        <v>344</v>
      </c>
      <c r="D84" s="4" t="s">
        <v>44</v>
      </c>
      <c r="E84" s="7">
        <v>230</v>
      </c>
      <c r="F84" s="5">
        <f>IFERROR(VLOOKUP(D84, Sheet2!$A:$C, 3, FALSE), 0)</f>
        <v>5909.090909090909</v>
      </c>
      <c r="G84" s="6">
        <f t="shared" si="1"/>
        <v>1359090.9090909092</v>
      </c>
    </row>
    <row r="85" spans="1:7" ht="17.25" x14ac:dyDescent="0.3">
      <c r="A85" s="23" t="s">
        <v>74</v>
      </c>
      <c r="B85" s="22" t="s">
        <v>24</v>
      </c>
      <c r="C85" s="4" t="s">
        <v>341</v>
      </c>
      <c r="D85" s="4" t="s">
        <v>68</v>
      </c>
      <c r="E85" s="7">
        <v>123</v>
      </c>
      <c r="F85" s="5">
        <f>IFERROR(VLOOKUP(D85, Sheet2!$A:$C, 3, FALSE), 0)</f>
        <v>13400</v>
      </c>
      <c r="G85" s="6">
        <f t="shared" si="1"/>
        <v>1648200</v>
      </c>
    </row>
    <row r="86" spans="1:7" ht="17.25" x14ac:dyDescent="0.3">
      <c r="A86" s="22" t="s">
        <v>74</v>
      </c>
      <c r="B86" s="22" t="s">
        <v>21</v>
      </c>
      <c r="C86" s="4" t="s">
        <v>339</v>
      </c>
      <c r="D86" s="4" t="s">
        <v>76</v>
      </c>
      <c r="E86" s="7">
        <v>757</v>
      </c>
      <c r="F86" s="5">
        <f>IFERROR(VLOOKUP(D86, Sheet2!$A:$C, 3, FALSE), 0)</f>
        <v>8636.363636363636</v>
      </c>
      <c r="G86" s="6">
        <f t="shared" si="1"/>
        <v>6537727.2727272725</v>
      </c>
    </row>
    <row r="87" spans="1:7" ht="17.25" x14ac:dyDescent="0.3">
      <c r="A87" s="23" t="s">
        <v>77</v>
      </c>
      <c r="B87" s="22" t="s">
        <v>48</v>
      </c>
      <c r="C87" s="4" t="s">
        <v>344</v>
      </c>
      <c r="D87" s="4" t="s">
        <v>22</v>
      </c>
      <c r="E87" s="7">
        <v>80</v>
      </c>
      <c r="F87" s="5">
        <f>IFERROR(VLOOKUP(D87, Sheet2!$A:$C, 3, FALSE), 0)</f>
        <v>5999.9999999999991</v>
      </c>
      <c r="G87" s="6">
        <f t="shared" si="1"/>
        <v>479999.99999999994</v>
      </c>
    </row>
    <row r="88" spans="1:7" ht="17.25" x14ac:dyDescent="0.3">
      <c r="A88" s="23" t="s">
        <v>77</v>
      </c>
      <c r="B88" s="22" t="s">
        <v>8</v>
      </c>
      <c r="C88" s="4" t="s">
        <v>337</v>
      </c>
      <c r="D88" s="4" t="s">
        <v>9</v>
      </c>
      <c r="E88" s="7">
        <v>1017</v>
      </c>
      <c r="F88" s="5">
        <f>IFERROR(VLOOKUP(D88, Sheet2!$A:$C, 3, FALSE), 0)</f>
        <v>18636.363636363636</v>
      </c>
      <c r="G88" s="6">
        <f t="shared" si="1"/>
        <v>18953181.818181816</v>
      </c>
    </row>
    <row r="89" spans="1:7" ht="17.25" x14ac:dyDescent="0.3">
      <c r="A89" s="23" t="s">
        <v>77</v>
      </c>
      <c r="B89" s="22" t="s">
        <v>16</v>
      </c>
      <c r="C89" s="4" t="s">
        <v>344</v>
      </c>
      <c r="D89" s="4" t="s">
        <v>39</v>
      </c>
      <c r="E89" s="7">
        <v>318</v>
      </c>
      <c r="F89" s="5">
        <f>IFERROR(VLOOKUP(D89, Sheet2!$A:$C, 3, FALSE), 0)</f>
        <v>3863.6363636363635</v>
      </c>
      <c r="G89" s="6">
        <f t="shared" si="1"/>
        <v>1228636.3636363635</v>
      </c>
    </row>
    <row r="90" spans="1:7" ht="17.25" x14ac:dyDescent="0.3">
      <c r="A90" s="23" t="s">
        <v>77</v>
      </c>
      <c r="B90" s="22" t="s">
        <v>25</v>
      </c>
      <c r="C90" s="4" t="s">
        <v>337</v>
      </c>
      <c r="D90" s="4" t="s">
        <v>78</v>
      </c>
      <c r="E90" s="7">
        <v>1283</v>
      </c>
      <c r="F90" s="5">
        <f>IFERROR(VLOOKUP(D90, Sheet2!$A:$C, 3, FALSE), 0)</f>
        <v>14999.999999999998</v>
      </c>
      <c r="G90" s="6">
        <f t="shared" si="1"/>
        <v>19244999.999999996</v>
      </c>
    </row>
    <row r="91" spans="1:7" ht="17.25" x14ac:dyDescent="0.3">
      <c r="A91" s="23" t="s">
        <v>77</v>
      </c>
      <c r="B91" s="22" t="s">
        <v>25</v>
      </c>
      <c r="C91" s="4" t="s">
        <v>337</v>
      </c>
      <c r="D91" s="4" t="s">
        <v>79</v>
      </c>
      <c r="E91" s="7">
        <v>458</v>
      </c>
      <c r="F91" s="5">
        <f>IFERROR(VLOOKUP(D91, Sheet2!$A:$C, 3, FALSE), 0)</f>
        <v>21363.63636363636</v>
      </c>
      <c r="G91" s="6">
        <f t="shared" si="1"/>
        <v>9784545.4545454532</v>
      </c>
    </row>
    <row r="92" spans="1:7" ht="17.25" x14ac:dyDescent="0.3">
      <c r="A92" s="23" t="s">
        <v>77</v>
      </c>
      <c r="B92" s="22" t="s">
        <v>25</v>
      </c>
      <c r="C92" s="4" t="s">
        <v>344</v>
      </c>
      <c r="D92" s="4" t="s">
        <v>15</v>
      </c>
      <c r="E92" s="7">
        <v>321</v>
      </c>
      <c r="F92" s="5">
        <f>IFERROR(VLOOKUP(D92, Sheet2!$A:$C, 3, FALSE), 0)</f>
        <v>3863.6363636363635</v>
      </c>
      <c r="G92" s="6">
        <f t="shared" si="1"/>
        <v>1240227.2727272727</v>
      </c>
    </row>
    <row r="93" spans="1:7" ht="17.25" x14ac:dyDescent="0.3">
      <c r="A93" s="23" t="s">
        <v>77</v>
      </c>
      <c r="B93" s="22" t="s">
        <v>27</v>
      </c>
      <c r="C93" s="4" t="s">
        <v>339</v>
      </c>
      <c r="D93" s="4" t="s">
        <v>80</v>
      </c>
      <c r="E93" s="7">
        <v>583</v>
      </c>
      <c r="F93" s="5">
        <f>IFERROR(VLOOKUP(D93, Sheet2!$A:$C, 3, FALSE), 0)</f>
        <v>18272.727272727272</v>
      </c>
      <c r="G93" s="6">
        <f t="shared" si="1"/>
        <v>10653000</v>
      </c>
    </row>
    <row r="94" spans="1:7" ht="17.25" x14ac:dyDescent="0.3">
      <c r="A94" s="23" t="s">
        <v>77</v>
      </c>
      <c r="B94" s="22" t="s">
        <v>43</v>
      </c>
      <c r="C94" s="4" t="s">
        <v>341</v>
      </c>
      <c r="D94" s="4" t="s">
        <v>68</v>
      </c>
      <c r="E94" s="7">
        <v>126</v>
      </c>
      <c r="F94" s="5">
        <f>IFERROR(VLOOKUP(D94, Sheet2!$A:$C, 3, FALSE), 0)</f>
        <v>13400</v>
      </c>
      <c r="G94" s="6">
        <f t="shared" si="1"/>
        <v>1688400</v>
      </c>
    </row>
    <row r="95" spans="1:7" ht="17.25" x14ac:dyDescent="0.3">
      <c r="A95" s="23" t="s">
        <v>77</v>
      </c>
      <c r="B95" s="22" t="s">
        <v>29</v>
      </c>
      <c r="C95" s="4" t="s">
        <v>339</v>
      </c>
      <c r="D95" s="4" t="s">
        <v>80</v>
      </c>
      <c r="E95" s="7">
        <v>459</v>
      </c>
      <c r="F95" s="5">
        <f>IFERROR(VLOOKUP(D95, Sheet2!$A:$C, 3, FALSE), 0)</f>
        <v>18272.727272727272</v>
      </c>
      <c r="G95" s="6">
        <f t="shared" si="1"/>
        <v>8387181.8181818174</v>
      </c>
    </row>
    <row r="96" spans="1:7" ht="17.25" x14ac:dyDescent="0.3">
      <c r="A96" s="23" t="s">
        <v>77</v>
      </c>
      <c r="B96" s="22" t="s">
        <v>30</v>
      </c>
      <c r="C96" s="4" t="s">
        <v>342</v>
      </c>
      <c r="D96" s="4" t="s">
        <v>35</v>
      </c>
      <c r="E96" s="7">
        <v>252</v>
      </c>
      <c r="F96" s="5">
        <f>IFERROR(VLOOKUP(D96, Sheet2!$A:$C, 3, FALSE), 0)</f>
        <v>8363.6363636363621</v>
      </c>
      <c r="G96" s="6">
        <f t="shared" si="1"/>
        <v>2107636.3636363633</v>
      </c>
    </row>
    <row r="97" spans="1:7" ht="17.25" x14ac:dyDescent="0.3">
      <c r="A97" s="23" t="s">
        <v>77</v>
      </c>
      <c r="B97" s="22" t="s">
        <v>46</v>
      </c>
      <c r="C97" s="4" t="s">
        <v>342</v>
      </c>
      <c r="D97" s="4" t="s">
        <v>35</v>
      </c>
      <c r="E97" s="7">
        <v>218</v>
      </c>
      <c r="F97" s="5">
        <f>IFERROR(VLOOKUP(D97, Sheet2!$A:$C, 3, FALSE), 0)</f>
        <v>8363.6363636363621</v>
      </c>
      <c r="G97" s="6">
        <f t="shared" si="1"/>
        <v>1823272.7272727271</v>
      </c>
    </row>
    <row r="98" spans="1:7" ht="17.25" x14ac:dyDescent="0.3">
      <c r="A98" s="23" t="s">
        <v>77</v>
      </c>
      <c r="B98" s="22" t="s">
        <v>31</v>
      </c>
      <c r="C98" s="4" t="s">
        <v>344</v>
      </c>
      <c r="D98" s="4" t="s">
        <v>32</v>
      </c>
      <c r="E98" s="7">
        <v>785</v>
      </c>
      <c r="F98" s="5">
        <f>IFERROR(VLOOKUP(D98, Sheet2!$A:$C, 3, FALSE), 0)</f>
        <v>4363.6363636363631</v>
      </c>
      <c r="G98" s="6">
        <f t="shared" si="1"/>
        <v>3425454.5454545449</v>
      </c>
    </row>
    <row r="99" spans="1:7" ht="17.25" x14ac:dyDescent="0.3">
      <c r="A99" s="22" t="s">
        <v>77</v>
      </c>
      <c r="B99" s="22" t="s">
        <v>33</v>
      </c>
      <c r="C99" s="4" t="s">
        <v>342</v>
      </c>
      <c r="D99" s="4" t="s">
        <v>35</v>
      </c>
      <c r="E99" s="7">
        <v>196</v>
      </c>
      <c r="F99" s="5">
        <f>IFERROR(VLOOKUP(D99, Sheet2!$A:$C, 3, FALSE), 0)</f>
        <v>8363.6363636363621</v>
      </c>
      <c r="G99" s="6">
        <f t="shared" si="1"/>
        <v>1639272.7272727271</v>
      </c>
    </row>
    <row r="100" spans="1:7" ht="17.25" x14ac:dyDescent="0.3">
      <c r="A100" s="23" t="s">
        <v>77</v>
      </c>
      <c r="B100" s="22" t="s">
        <v>23</v>
      </c>
      <c r="C100" s="4" t="s">
        <v>342</v>
      </c>
      <c r="D100" s="4" t="s">
        <v>61</v>
      </c>
      <c r="E100" s="7">
        <v>48</v>
      </c>
      <c r="F100" s="5">
        <f>IFERROR(VLOOKUP(D100, Sheet2!$A:$C, 3, FALSE), 0)</f>
        <v>7363.6363636363631</v>
      </c>
      <c r="G100" s="6">
        <f t="shared" si="1"/>
        <v>353454.54545454541</v>
      </c>
    </row>
    <row r="101" spans="1:7" ht="17.25" x14ac:dyDescent="0.3">
      <c r="A101" s="23" t="s">
        <v>77</v>
      </c>
      <c r="B101" s="22" t="s">
        <v>23</v>
      </c>
      <c r="C101" s="4" t="s">
        <v>342</v>
      </c>
      <c r="D101" s="4" t="s">
        <v>61</v>
      </c>
      <c r="E101" s="7">
        <v>34</v>
      </c>
      <c r="F101" s="5">
        <f>IFERROR(VLOOKUP(D101, Sheet2!$A:$C, 3, FALSE), 0)</f>
        <v>7363.6363636363631</v>
      </c>
      <c r="G101" s="6">
        <f t="shared" si="1"/>
        <v>250363.63636363635</v>
      </c>
    </row>
    <row r="102" spans="1:7" ht="17.25" x14ac:dyDescent="0.3">
      <c r="A102" s="22" t="s">
        <v>77</v>
      </c>
      <c r="B102" s="22" t="s">
        <v>23</v>
      </c>
      <c r="C102" s="4" t="s">
        <v>340</v>
      </c>
      <c r="D102" s="4" t="s">
        <v>49</v>
      </c>
      <c r="E102" s="7">
        <v>180</v>
      </c>
      <c r="F102" s="5">
        <f>IFERROR(VLOOKUP(D102, Sheet2!$A:$C, 3, FALSE), 0)</f>
        <v>38000</v>
      </c>
      <c r="G102" s="6">
        <f t="shared" si="1"/>
        <v>6840000</v>
      </c>
    </row>
    <row r="103" spans="1:7" ht="17.25" x14ac:dyDescent="0.3">
      <c r="A103" s="22" t="s">
        <v>77</v>
      </c>
      <c r="B103" s="22" t="s">
        <v>51</v>
      </c>
      <c r="C103" s="4" t="s">
        <v>344</v>
      </c>
      <c r="D103" s="4" t="s">
        <v>53</v>
      </c>
      <c r="E103" s="7">
        <v>780</v>
      </c>
      <c r="F103" s="5">
        <f>IFERROR(VLOOKUP(D103, Sheet2!$A:$C, 3, FALSE), 0)</f>
        <v>5818.181818181818</v>
      </c>
      <c r="G103" s="6">
        <f t="shared" si="1"/>
        <v>4538181.8181818184</v>
      </c>
    </row>
    <row r="104" spans="1:7" ht="17.25" x14ac:dyDescent="0.3">
      <c r="A104" s="23" t="s">
        <v>81</v>
      </c>
      <c r="B104" s="22" t="s">
        <v>60</v>
      </c>
      <c r="C104" s="4" t="s">
        <v>342</v>
      </c>
      <c r="D104" s="4" t="s">
        <v>61</v>
      </c>
      <c r="E104" s="7">
        <v>102</v>
      </c>
      <c r="F104" s="5">
        <f>IFERROR(VLOOKUP(D104, Sheet2!$A:$C, 3, FALSE), 0)</f>
        <v>7363.6363636363631</v>
      </c>
      <c r="G104" s="6">
        <f t="shared" si="1"/>
        <v>751090.90909090906</v>
      </c>
    </row>
    <row r="105" spans="1:7" ht="17.25" x14ac:dyDescent="0.3">
      <c r="A105" s="23" t="s">
        <v>81</v>
      </c>
      <c r="B105" s="22" t="s">
        <v>60</v>
      </c>
      <c r="C105" s="4" t="s">
        <v>337</v>
      </c>
      <c r="D105" s="4" t="s">
        <v>55</v>
      </c>
      <c r="E105" s="7">
        <v>579</v>
      </c>
      <c r="F105" s="5">
        <f>IFERROR(VLOOKUP(D105, Sheet2!$A:$C, 3, FALSE), 0)</f>
        <v>14899.999999999998</v>
      </c>
      <c r="G105" s="6">
        <f t="shared" si="1"/>
        <v>8627099.9999999981</v>
      </c>
    </row>
    <row r="106" spans="1:7" ht="17.25" x14ac:dyDescent="0.3">
      <c r="A106" s="23" t="s">
        <v>81</v>
      </c>
      <c r="B106" s="22" t="s">
        <v>75</v>
      </c>
      <c r="C106" s="4" t="s">
        <v>344</v>
      </c>
      <c r="D106" s="4" t="s">
        <v>44</v>
      </c>
      <c r="E106" s="7">
        <v>219</v>
      </c>
      <c r="F106" s="5">
        <f>IFERROR(VLOOKUP(D106, Sheet2!$A:$C, 3, FALSE), 0)</f>
        <v>5909.090909090909</v>
      </c>
      <c r="G106" s="6">
        <f t="shared" si="1"/>
        <v>1294090.9090909092</v>
      </c>
    </row>
    <row r="107" spans="1:7" ht="17.25" x14ac:dyDescent="0.3">
      <c r="A107" s="23" t="s">
        <v>81</v>
      </c>
      <c r="B107" s="22" t="s">
        <v>21</v>
      </c>
      <c r="C107" s="4" t="s">
        <v>344</v>
      </c>
      <c r="D107" s="4" t="s">
        <v>22</v>
      </c>
      <c r="E107" s="7">
        <v>229</v>
      </c>
      <c r="F107" s="5">
        <f>IFERROR(VLOOKUP(D107, Sheet2!$A:$C, 3, FALSE), 0)</f>
        <v>5999.9999999999991</v>
      </c>
      <c r="G107" s="6">
        <f t="shared" si="1"/>
        <v>1373999.9999999998</v>
      </c>
    </row>
    <row r="108" spans="1:7" ht="17.25" x14ac:dyDescent="0.3">
      <c r="A108" s="23" t="s">
        <v>81</v>
      </c>
      <c r="B108" s="22" t="s">
        <v>24</v>
      </c>
      <c r="C108" s="4" t="s">
        <v>341</v>
      </c>
      <c r="D108" s="4" t="s">
        <v>17</v>
      </c>
      <c r="E108" s="7">
        <f>513/3</f>
        <v>171</v>
      </c>
      <c r="F108" s="5">
        <f>IFERROR(VLOOKUP(D108, Sheet2!$A:$C, 3, FALSE), 0)</f>
        <v>11700</v>
      </c>
      <c r="G108" s="6">
        <f t="shared" si="1"/>
        <v>2000700</v>
      </c>
    </row>
    <row r="109" spans="1:7" ht="17.25" x14ac:dyDescent="0.3">
      <c r="A109" s="23" t="s">
        <v>82</v>
      </c>
      <c r="B109" s="22" t="s">
        <v>63</v>
      </c>
      <c r="C109" s="4" t="s">
        <v>344</v>
      </c>
      <c r="D109" s="4" t="s">
        <v>52</v>
      </c>
      <c r="E109" s="7">
        <v>401</v>
      </c>
      <c r="F109" s="5">
        <f>IFERROR(VLOOKUP(D109, Sheet2!$A:$C, 3, FALSE), 0)</f>
        <v>5999.9999999999991</v>
      </c>
      <c r="G109" s="6">
        <f t="shared" si="1"/>
        <v>2405999.9999999995</v>
      </c>
    </row>
    <row r="110" spans="1:7" ht="17.25" x14ac:dyDescent="0.3">
      <c r="A110" s="23" t="s">
        <v>82</v>
      </c>
      <c r="B110" s="22" t="s">
        <v>8</v>
      </c>
      <c r="C110" s="4" t="s">
        <v>342</v>
      </c>
      <c r="D110" s="4" t="s">
        <v>35</v>
      </c>
      <c r="E110" s="7">
        <v>98</v>
      </c>
      <c r="F110" s="5">
        <f>IFERROR(VLOOKUP(D110, Sheet2!$A:$C, 3, FALSE), 0)</f>
        <v>8363.6363636363621</v>
      </c>
      <c r="G110" s="6">
        <f t="shared" si="1"/>
        <v>819636.36363636353</v>
      </c>
    </row>
    <row r="111" spans="1:7" ht="17.25" x14ac:dyDescent="0.3">
      <c r="A111" s="23" t="s">
        <v>82</v>
      </c>
      <c r="B111" s="22" t="s">
        <v>75</v>
      </c>
      <c r="C111" s="4" t="s">
        <v>344</v>
      </c>
      <c r="D111" s="4" t="s">
        <v>44</v>
      </c>
      <c r="E111" s="7">
        <v>201</v>
      </c>
      <c r="F111" s="5">
        <f>IFERROR(VLOOKUP(D111, Sheet2!$A:$C, 3, FALSE), 0)</f>
        <v>5909.090909090909</v>
      </c>
      <c r="G111" s="6">
        <f t="shared" si="1"/>
        <v>1187727.2727272727</v>
      </c>
    </row>
    <row r="112" spans="1:7" ht="17.25" x14ac:dyDescent="0.3">
      <c r="A112" s="23" t="s">
        <v>82</v>
      </c>
      <c r="B112" s="22" t="s">
        <v>14</v>
      </c>
      <c r="C112" s="4" t="s">
        <v>344</v>
      </c>
      <c r="D112" s="4" t="s">
        <v>32</v>
      </c>
      <c r="E112" s="7">
        <v>278</v>
      </c>
      <c r="F112" s="5">
        <f>IFERROR(VLOOKUP(D112, Sheet2!$A:$C, 3, FALSE), 0)</f>
        <v>4363.6363636363631</v>
      </c>
      <c r="G112" s="6">
        <f t="shared" si="1"/>
        <v>1213090.9090909089</v>
      </c>
    </row>
    <row r="113" spans="1:7" ht="17.25" x14ac:dyDescent="0.3">
      <c r="A113" s="23" t="s">
        <v>82</v>
      </c>
      <c r="B113" s="22" t="s">
        <v>16</v>
      </c>
      <c r="C113" s="4" t="s">
        <v>341</v>
      </c>
      <c r="D113" s="4" t="s">
        <v>17</v>
      </c>
      <c r="E113" s="7">
        <v>235</v>
      </c>
      <c r="F113" s="5">
        <f>IFERROR(VLOOKUP(D113, Sheet2!$A:$C, 3, FALSE), 0)</f>
        <v>11700</v>
      </c>
      <c r="G113" s="6">
        <f t="shared" si="1"/>
        <v>2749500</v>
      </c>
    </row>
    <row r="114" spans="1:7" ht="17.25" x14ac:dyDescent="0.3">
      <c r="A114" s="23" t="s">
        <v>82</v>
      </c>
      <c r="B114" s="22" t="s">
        <v>5</v>
      </c>
      <c r="C114" s="4" t="s">
        <v>338</v>
      </c>
      <c r="D114" s="4" t="s">
        <v>28</v>
      </c>
      <c r="E114" s="7">
        <v>776</v>
      </c>
      <c r="F114" s="5">
        <f>IFERROR(VLOOKUP(D114, Sheet2!$A:$C, 3, FALSE), 0)</f>
        <v>7899.9999999999991</v>
      </c>
      <c r="G114" s="6">
        <f t="shared" si="1"/>
        <v>6130399.9999999991</v>
      </c>
    </row>
    <row r="115" spans="1:7" ht="17.25" x14ac:dyDescent="0.3">
      <c r="A115" s="23" t="s">
        <v>82</v>
      </c>
      <c r="B115" s="22" t="s">
        <v>5</v>
      </c>
      <c r="C115" s="4" t="s">
        <v>337</v>
      </c>
      <c r="D115" s="4" t="s">
        <v>83</v>
      </c>
      <c r="E115" s="7">
        <v>581</v>
      </c>
      <c r="F115" s="5">
        <f>IFERROR(VLOOKUP(D115, Sheet2!$A:$C, 3, FALSE), 0)</f>
        <v>7636.363636363636</v>
      </c>
      <c r="G115" s="6">
        <f t="shared" si="1"/>
        <v>4436727.2727272725</v>
      </c>
    </row>
    <row r="116" spans="1:7" ht="17.25" x14ac:dyDescent="0.3">
      <c r="A116" s="23" t="s">
        <v>82</v>
      </c>
      <c r="B116" s="22" t="s">
        <v>19</v>
      </c>
      <c r="C116" s="4" t="s">
        <v>338</v>
      </c>
      <c r="D116" s="4" t="s">
        <v>54</v>
      </c>
      <c r="E116" s="7">
        <v>445</v>
      </c>
      <c r="F116" s="5">
        <f>IFERROR(VLOOKUP(D116, Sheet2!$A:$C, 3, FALSE), 0)</f>
        <v>7899.9999999999991</v>
      </c>
      <c r="G116" s="6">
        <f t="shared" si="1"/>
        <v>3515499.9999999995</v>
      </c>
    </row>
    <row r="117" spans="1:7" ht="17.25" x14ac:dyDescent="0.3">
      <c r="A117" s="23" t="s">
        <v>82</v>
      </c>
      <c r="B117" s="22" t="s">
        <v>21</v>
      </c>
      <c r="C117" s="4" t="s">
        <v>216</v>
      </c>
      <c r="D117" s="4" t="s">
        <v>84</v>
      </c>
      <c r="E117" s="7">
        <v>448</v>
      </c>
      <c r="F117" s="5">
        <f>IFERROR(VLOOKUP(D117, Sheet2!$A:$C, 3, FALSE), 0)</f>
        <v>2090.9090909090905</v>
      </c>
      <c r="G117" s="6">
        <f t="shared" si="1"/>
        <v>936727.27272727259</v>
      </c>
    </row>
    <row r="118" spans="1:7" ht="17.25" x14ac:dyDescent="0.3">
      <c r="A118" s="23" t="s">
        <v>82</v>
      </c>
      <c r="B118" s="22" t="s">
        <v>23</v>
      </c>
      <c r="C118" s="4" t="s">
        <v>342</v>
      </c>
      <c r="D118" s="4" t="s">
        <v>61</v>
      </c>
      <c r="E118" s="7">
        <v>18</v>
      </c>
      <c r="F118" s="5">
        <f>IFERROR(VLOOKUP(D118, Sheet2!$A:$C, 3, FALSE), 0)</f>
        <v>7363.6363636363631</v>
      </c>
      <c r="G118" s="6">
        <f t="shared" si="1"/>
        <v>132545.45454545453</v>
      </c>
    </row>
    <row r="119" spans="1:7" ht="17.25" x14ac:dyDescent="0.3">
      <c r="A119" s="23" t="s">
        <v>82</v>
      </c>
      <c r="B119" s="22" t="s">
        <v>24</v>
      </c>
      <c r="C119" s="4" t="s">
        <v>341</v>
      </c>
      <c r="D119" s="4" t="s">
        <v>17</v>
      </c>
      <c r="E119" s="7">
        <f>144/3</f>
        <v>48</v>
      </c>
      <c r="F119" s="5">
        <f>IFERROR(VLOOKUP(D119, Sheet2!$A:$C, 3, FALSE), 0)</f>
        <v>11700</v>
      </c>
      <c r="G119" s="6">
        <f t="shared" si="1"/>
        <v>561600</v>
      </c>
    </row>
    <row r="120" spans="1:7" ht="17.25" x14ac:dyDescent="0.3">
      <c r="A120" s="23" t="s">
        <v>82</v>
      </c>
      <c r="B120" s="22" t="s">
        <v>25</v>
      </c>
      <c r="C120" s="4" t="s">
        <v>337</v>
      </c>
      <c r="D120" s="4" t="s">
        <v>26</v>
      </c>
      <c r="E120" s="7">
        <v>445</v>
      </c>
      <c r="F120" s="5">
        <f>IFERROR(VLOOKUP(D120, Sheet2!$A:$C, 3, FALSE), 0)</f>
        <v>21000</v>
      </c>
      <c r="G120" s="6">
        <f t="shared" si="1"/>
        <v>9345000</v>
      </c>
    </row>
    <row r="121" spans="1:7" ht="17.25" x14ac:dyDescent="0.3">
      <c r="A121" s="23" t="s">
        <v>82</v>
      </c>
      <c r="B121" s="22" t="s">
        <v>43</v>
      </c>
      <c r="C121" s="4" t="s">
        <v>341</v>
      </c>
      <c r="D121" s="4" t="s">
        <v>68</v>
      </c>
      <c r="E121" s="7">
        <f>207/3</f>
        <v>69</v>
      </c>
      <c r="F121" s="5">
        <f>IFERROR(VLOOKUP(D121, Sheet2!$A:$C, 3, FALSE), 0)</f>
        <v>13400</v>
      </c>
      <c r="G121" s="6">
        <f t="shared" si="1"/>
        <v>924600</v>
      </c>
    </row>
    <row r="122" spans="1:7" ht="17.25" x14ac:dyDescent="0.3">
      <c r="A122" s="23" t="s">
        <v>82</v>
      </c>
      <c r="B122" s="22" t="s">
        <v>69</v>
      </c>
      <c r="C122" s="4" t="s">
        <v>342</v>
      </c>
      <c r="D122" s="4" t="s">
        <v>61</v>
      </c>
      <c r="E122" s="7">
        <v>270</v>
      </c>
      <c r="F122" s="5">
        <f>IFERROR(VLOOKUP(D122, Sheet2!$A:$C, 3, FALSE), 0)</f>
        <v>7363.6363636363631</v>
      </c>
      <c r="G122" s="6">
        <f t="shared" si="1"/>
        <v>1988181.8181818181</v>
      </c>
    </row>
    <row r="123" spans="1:7" ht="17.25" x14ac:dyDescent="0.3">
      <c r="A123" s="23" t="s">
        <v>85</v>
      </c>
      <c r="B123" s="22" t="s">
        <v>63</v>
      </c>
      <c r="C123" s="4" t="s">
        <v>337</v>
      </c>
      <c r="D123" s="4" t="s">
        <v>86</v>
      </c>
      <c r="E123" s="7">
        <v>381</v>
      </c>
      <c r="F123" s="5">
        <f>IFERROR(VLOOKUP(D123, Sheet2!$A:$C, 3, FALSE), 0)</f>
        <v>14999.999999999998</v>
      </c>
      <c r="G123" s="6">
        <f t="shared" si="1"/>
        <v>5714999.9999999991</v>
      </c>
    </row>
    <row r="124" spans="1:7" ht="17.25" x14ac:dyDescent="0.3">
      <c r="A124" s="23" t="s">
        <v>85</v>
      </c>
      <c r="B124" s="22" t="s">
        <v>11</v>
      </c>
      <c r="C124" s="4" t="s">
        <v>337</v>
      </c>
      <c r="D124" s="4" t="s">
        <v>13</v>
      </c>
      <c r="E124" s="7">
        <v>1508</v>
      </c>
      <c r="F124" s="5">
        <f>IFERROR(VLOOKUP(D124, Sheet2!$A:$C, 3, FALSE), 0)</f>
        <v>18090.909090909088</v>
      </c>
      <c r="G124" s="6">
        <f t="shared" si="1"/>
        <v>27281090.909090906</v>
      </c>
    </row>
    <row r="125" spans="1:7" ht="17.25" x14ac:dyDescent="0.3">
      <c r="A125" s="23" t="s">
        <v>85</v>
      </c>
      <c r="B125" s="22" t="s">
        <v>51</v>
      </c>
      <c r="C125" s="4" t="s">
        <v>343</v>
      </c>
      <c r="D125" s="4" t="s">
        <v>45</v>
      </c>
      <c r="E125" s="7">
        <v>585</v>
      </c>
      <c r="F125" s="5">
        <f>IFERROR(VLOOKUP(D125, Sheet2!$A:$C, 3, FALSE), 0)</f>
        <v>10909.090909090908</v>
      </c>
      <c r="G125" s="6">
        <f t="shared" si="1"/>
        <v>6381818.1818181816</v>
      </c>
    </row>
    <row r="126" spans="1:7" ht="17.25" x14ac:dyDescent="0.3">
      <c r="A126" s="23" t="s">
        <v>85</v>
      </c>
      <c r="B126" s="22" t="s">
        <v>16</v>
      </c>
      <c r="C126" s="4" t="s">
        <v>341</v>
      </c>
      <c r="D126" s="4" t="s">
        <v>17</v>
      </c>
      <c r="E126" s="7">
        <f>546/3</f>
        <v>182</v>
      </c>
      <c r="F126" s="5">
        <f>IFERROR(VLOOKUP(D126, Sheet2!$A:$C, 3, FALSE), 0)</f>
        <v>11700</v>
      </c>
      <c r="G126" s="6">
        <f t="shared" si="1"/>
        <v>2129400</v>
      </c>
    </row>
    <row r="127" spans="1:7" ht="17.25" x14ac:dyDescent="0.3">
      <c r="A127" s="23" t="s">
        <v>85</v>
      </c>
      <c r="B127" s="22" t="s">
        <v>18</v>
      </c>
      <c r="C127" s="4" t="s">
        <v>338</v>
      </c>
      <c r="D127" s="4" t="s">
        <v>28</v>
      </c>
      <c r="E127" s="7">
        <v>683</v>
      </c>
      <c r="F127" s="5">
        <f>IFERROR(VLOOKUP(D127, Sheet2!$A:$C, 3, FALSE), 0)</f>
        <v>7899.9999999999991</v>
      </c>
      <c r="G127" s="6">
        <f t="shared" si="1"/>
        <v>5395699.9999999991</v>
      </c>
    </row>
    <row r="128" spans="1:7" ht="17.25" x14ac:dyDescent="0.3">
      <c r="A128" s="23" t="s">
        <v>85</v>
      </c>
      <c r="B128" s="22" t="s">
        <v>18</v>
      </c>
      <c r="C128" s="4" t="s">
        <v>337</v>
      </c>
      <c r="D128" s="4" t="s">
        <v>83</v>
      </c>
      <c r="E128" s="7">
        <v>511</v>
      </c>
      <c r="F128" s="5">
        <f>IFERROR(VLOOKUP(D128, Sheet2!$A:$C, 3, FALSE), 0)</f>
        <v>7636.363636363636</v>
      </c>
      <c r="G128" s="6">
        <f t="shared" si="1"/>
        <v>3902181.8181818179</v>
      </c>
    </row>
    <row r="129" spans="1:7" ht="17.25" x14ac:dyDescent="0.3">
      <c r="A129" s="23" t="s">
        <v>85</v>
      </c>
      <c r="B129" s="22" t="s">
        <v>25</v>
      </c>
      <c r="C129" s="4" t="s">
        <v>344</v>
      </c>
      <c r="D129" s="4" t="s">
        <v>22</v>
      </c>
      <c r="E129" s="7">
        <v>425</v>
      </c>
      <c r="F129" s="5">
        <f>IFERROR(VLOOKUP(D129, Sheet2!$A:$C, 3, FALSE), 0)</f>
        <v>5999.9999999999991</v>
      </c>
      <c r="G129" s="6">
        <f t="shared" si="1"/>
        <v>2549999.9999999995</v>
      </c>
    </row>
    <row r="130" spans="1:7" ht="17.25" x14ac:dyDescent="0.3">
      <c r="A130" s="23" t="s">
        <v>85</v>
      </c>
      <c r="B130" s="22" t="s">
        <v>46</v>
      </c>
      <c r="C130" s="4" t="s">
        <v>337</v>
      </c>
      <c r="D130" s="4" t="s">
        <v>6</v>
      </c>
      <c r="E130" s="7">
        <v>2113</v>
      </c>
      <c r="F130" s="5">
        <f>IFERROR(VLOOKUP(D130, Sheet2!$A:$C, 3, FALSE), 0)</f>
        <v>14999.999999999998</v>
      </c>
      <c r="G130" s="6">
        <f t="shared" si="1"/>
        <v>31694999.999999996</v>
      </c>
    </row>
    <row r="131" spans="1:7" ht="17.25" x14ac:dyDescent="0.3">
      <c r="A131" s="23" t="s">
        <v>87</v>
      </c>
      <c r="B131" s="22" t="s">
        <v>48</v>
      </c>
      <c r="C131" s="4" t="s">
        <v>344</v>
      </c>
      <c r="D131" s="4" t="s">
        <v>59</v>
      </c>
      <c r="E131" s="7">
        <v>189</v>
      </c>
      <c r="F131" s="5">
        <f>IFERROR(VLOOKUP(D131, Sheet2!$A:$C, 3, FALSE), 0)</f>
        <v>4681.8181818181811</v>
      </c>
      <c r="G131" s="6">
        <f t="shared" ref="G131:G194" si="2">E131*F131</f>
        <v>884863.63636363624</v>
      </c>
    </row>
    <row r="132" spans="1:7" ht="17.25" x14ac:dyDescent="0.3">
      <c r="A132" s="23" t="s">
        <v>87</v>
      </c>
      <c r="B132" s="22" t="s">
        <v>23</v>
      </c>
      <c r="C132" s="4" t="s">
        <v>344</v>
      </c>
      <c r="D132" s="4" t="s">
        <v>32</v>
      </c>
      <c r="E132" s="7">
        <v>342</v>
      </c>
      <c r="F132" s="5">
        <f>IFERROR(VLOOKUP(D132, Sheet2!$A:$C, 3, FALSE), 0)</f>
        <v>4363.6363636363631</v>
      </c>
      <c r="G132" s="6">
        <f t="shared" si="2"/>
        <v>1492363.6363636362</v>
      </c>
    </row>
    <row r="133" spans="1:7" ht="17.25" x14ac:dyDescent="0.3">
      <c r="A133" s="23" t="s">
        <v>87</v>
      </c>
      <c r="B133" s="22" t="s">
        <v>23</v>
      </c>
      <c r="C133" s="4" t="s">
        <v>344</v>
      </c>
      <c r="D133" s="4" t="s">
        <v>32</v>
      </c>
      <c r="E133" s="7">
        <v>341</v>
      </c>
      <c r="F133" s="5">
        <f>IFERROR(VLOOKUP(D133, Sheet2!$A:$C, 3, FALSE), 0)</f>
        <v>4363.6363636363631</v>
      </c>
      <c r="G133" s="6">
        <f t="shared" si="2"/>
        <v>1487999.9999999998</v>
      </c>
    </row>
    <row r="134" spans="1:7" ht="17.25" x14ac:dyDescent="0.3">
      <c r="A134" s="23" t="s">
        <v>87</v>
      </c>
      <c r="B134" s="22" t="s">
        <v>23</v>
      </c>
      <c r="C134" s="4" t="s">
        <v>342</v>
      </c>
      <c r="D134" s="4" t="s">
        <v>61</v>
      </c>
      <c r="E134" s="7">
        <v>68</v>
      </c>
      <c r="F134" s="5">
        <f>IFERROR(VLOOKUP(D134, Sheet2!$A:$C, 3, FALSE), 0)</f>
        <v>7363.6363636363631</v>
      </c>
      <c r="G134" s="6">
        <f t="shared" si="2"/>
        <v>500727.27272727271</v>
      </c>
    </row>
    <row r="135" spans="1:7" ht="17.25" x14ac:dyDescent="0.3">
      <c r="A135" s="23" t="s">
        <v>87</v>
      </c>
      <c r="B135" s="22" t="s">
        <v>23</v>
      </c>
      <c r="C135" s="4" t="s">
        <v>342</v>
      </c>
      <c r="D135" s="4" t="s">
        <v>61</v>
      </c>
      <c r="E135" s="7">
        <v>64</v>
      </c>
      <c r="F135" s="5">
        <f>IFERROR(VLOOKUP(D135, Sheet2!$A:$C, 3, FALSE), 0)</f>
        <v>7363.6363636363631</v>
      </c>
      <c r="G135" s="6">
        <f t="shared" si="2"/>
        <v>471272.72727272724</v>
      </c>
    </row>
    <row r="136" spans="1:7" ht="17.25" x14ac:dyDescent="0.3">
      <c r="A136" s="23" t="s">
        <v>87</v>
      </c>
      <c r="B136" s="22" t="s">
        <v>24</v>
      </c>
      <c r="C136" s="4" t="s">
        <v>341</v>
      </c>
      <c r="D136" s="4" t="s">
        <v>68</v>
      </c>
      <c r="E136" s="7">
        <v>219</v>
      </c>
      <c r="F136" s="5">
        <f>IFERROR(VLOOKUP(D136, Sheet2!$A:$C, 3, FALSE), 0)</f>
        <v>13400</v>
      </c>
      <c r="G136" s="6">
        <f t="shared" si="2"/>
        <v>2934600</v>
      </c>
    </row>
    <row r="137" spans="1:7" ht="17.25" x14ac:dyDescent="0.3">
      <c r="A137" s="23" t="s">
        <v>88</v>
      </c>
      <c r="B137" s="22" t="s">
        <v>48</v>
      </c>
      <c r="C137" s="4" t="s">
        <v>344</v>
      </c>
      <c r="D137" s="4" t="s">
        <v>59</v>
      </c>
      <c r="E137" s="7">
        <v>189</v>
      </c>
      <c r="F137" s="5">
        <f>IFERROR(VLOOKUP(D137, Sheet2!$A:$C, 3, FALSE), 0)</f>
        <v>4681.8181818181811</v>
      </c>
      <c r="G137" s="6">
        <f t="shared" si="2"/>
        <v>884863.63636363624</v>
      </c>
    </row>
    <row r="138" spans="1:7" ht="17.25" x14ac:dyDescent="0.3">
      <c r="A138" s="23" t="s">
        <v>88</v>
      </c>
      <c r="B138" s="22" t="s">
        <v>8</v>
      </c>
      <c r="C138" s="4" t="s">
        <v>344</v>
      </c>
      <c r="D138" s="4" t="s">
        <v>22</v>
      </c>
      <c r="E138" s="7">
        <v>226</v>
      </c>
      <c r="F138" s="5">
        <f>IFERROR(VLOOKUP(D138, Sheet2!$A:$C, 3, FALSE), 0)</f>
        <v>5999.9999999999991</v>
      </c>
      <c r="G138" s="6">
        <f t="shared" si="2"/>
        <v>1355999.9999999998</v>
      </c>
    </row>
    <row r="139" spans="1:7" ht="17.25" x14ac:dyDescent="0.3">
      <c r="A139" s="23" t="s">
        <v>88</v>
      </c>
      <c r="B139" s="22" t="s">
        <v>11</v>
      </c>
      <c r="C139" s="4" t="s">
        <v>339</v>
      </c>
      <c r="D139" s="4" t="s">
        <v>89</v>
      </c>
      <c r="E139" s="19">
        <v>101</v>
      </c>
      <c r="F139" s="5">
        <f>IFERROR(VLOOKUP(D139, Sheet2!$A:$C, 3, FALSE), 0)</f>
        <v>5000</v>
      </c>
      <c r="G139" s="6">
        <f t="shared" si="2"/>
        <v>505000</v>
      </c>
    </row>
    <row r="140" spans="1:7" ht="17.25" x14ac:dyDescent="0.3">
      <c r="A140" s="23" t="s">
        <v>88</v>
      </c>
      <c r="B140" s="22" t="s">
        <v>11</v>
      </c>
      <c r="C140" s="4" t="s">
        <v>337</v>
      </c>
      <c r="D140" s="4" t="s">
        <v>90</v>
      </c>
      <c r="E140" s="19">
        <v>101</v>
      </c>
      <c r="F140" s="5">
        <f>IFERROR(VLOOKUP(D140, Sheet2!$A:$C, 3, FALSE), 0)</f>
        <v>13636.363636363636</v>
      </c>
      <c r="G140" s="6">
        <f t="shared" si="2"/>
        <v>1377272.7272727273</v>
      </c>
    </row>
    <row r="141" spans="1:7" ht="17.25" x14ac:dyDescent="0.3">
      <c r="A141" s="23" t="s">
        <v>88</v>
      </c>
      <c r="B141" s="22" t="s">
        <v>66</v>
      </c>
      <c r="C141" s="4" t="s">
        <v>337</v>
      </c>
      <c r="D141" s="4" t="s">
        <v>78</v>
      </c>
      <c r="E141" s="7">
        <v>647</v>
      </c>
      <c r="F141" s="5">
        <f>IFERROR(VLOOKUP(D141, Sheet2!$A:$C, 3, FALSE), 0)</f>
        <v>14999.999999999998</v>
      </c>
      <c r="G141" s="6">
        <f t="shared" si="2"/>
        <v>9704999.9999999981</v>
      </c>
    </row>
    <row r="142" spans="1:7" ht="17.25" x14ac:dyDescent="0.3">
      <c r="A142" s="23" t="s">
        <v>88</v>
      </c>
      <c r="B142" s="22" t="s">
        <v>16</v>
      </c>
      <c r="C142" s="4" t="s">
        <v>344</v>
      </c>
      <c r="D142" s="4" t="s">
        <v>39</v>
      </c>
      <c r="E142" s="7">
        <v>181</v>
      </c>
      <c r="F142" s="5">
        <f>IFERROR(VLOOKUP(D142, Sheet2!$A:$C, 3, FALSE), 0)</f>
        <v>3863.6363636363635</v>
      </c>
      <c r="G142" s="6">
        <f t="shared" si="2"/>
        <v>699318.18181818177</v>
      </c>
    </row>
    <row r="143" spans="1:7" ht="17.25" x14ac:dyDescent="0.3">
      <c r="A143" s="23" t="s">
        <v>88</v>
      </c>
      <c r="B143" s="22" t="s">
        <v>16</v>
      </c>
      <c r="C143" s="4" t="s">
        <v>341</v>
      </c>
      <c r="D143" s="4" t="s">
        <v>17</v>
      </c>
      <c r="E143" s="7">
        <v>275</v>
      </c>
      <c r="F143" s="5">
        <f>IFERROR(VLOOKUP(D143, Sheet2!$A:$C, 3, FALSE), 0)</f>
        <v>11700</v>
      </c>
      <c r="G143" s="6">
        <f t="shared" si="2"/>
        <v>3217500</v>
      </c>
    </row>
    <row r="144" spans="1:7" ht="17.25" x14ac:dyDescent="0.3">
      <c r="A144" s="23" t="s">
        <v>88</v>
      </c>
      <c r="B144" s="22" t="s">
        <v>23</v>
      </c>
      <c r="C144" s="4" t="s">
        <v>344</v>
      </c>
      <c r="D144" s="4" t="s">
        <v>32</v>
      </c>
      <c r="E144" s="7">
        <v>224</v>
      </c>
      <c r="F144" s="5">
        <f>IFERROR(VLOOKUP(D144, Sheet2!$A:$C, 3, FALSE), 0)</f>
        <v>4363.6363636363631</v>
      </c>
      <c r="G144" s="6">
        <f t="shared" si="2"/>
        <v>977454.5454545453</v>
      </c>
    </row>
    <row r="145" spans="1:7" ht="17.25" x14ac:dyDescent="0.3">
      <c r="A145" s="23" t="s">
        <v>88</v>
      </c>
      <c r="B145" s="22" t="s">
        <v>23</v>
      </c>
      <c r="C145" s="4" t="s">
        <v>342</v>
      </c>
      <c r="D145" s="4" t="s">
        <v>61</v>
      </c>
      <c r="E145" s="7">
        <v>38</v>
      </c>
      <c r="F145" s="5">
        <f>IFERROR(VLOOKUP(D145, Sheet2!$A:$C, 3, FALSE), 0)</f>
        <v>7363.6363636363631</v>
      </c>
      <c r="G145" s="6">
        <f t="shared" si="2"/>
        <v>279818.18181818182</v>
      </c>
    </row>
    <row r="146" spans="1:7" ht="17.25" x14ac:dyDescent="0.3">
      <c r="A146" s="23" t="s">
        <v>88</v>
      </c>
      <c r="B146" s="22" t="s">
        <v>25</v>
      </c>
      <c r="C146" s="4" t="s">
        <v>337</v>
      </c>
      <c r="D146" s="4" t="s">
        <v>9</v>
      </c>
      <c r="E146" s="7">
        <v>1328</v>
      </c>
      <c r="F146" s="5">
        <f>IFERROR(VLOOKUP(D146, Sheet2!$A:$C, 3, FALSE), 0)</f>
        <v>18636.363636363636</v>
      </c>
      <c r="G146" s="6">
        <f t="shared" si="2"/>
        <v>24749090.90909091</v>
      </c>
    </row>
    <row r="147" spans="1:7" ht="17.25" x14ac:dyDescent="0.3">
      <c r="A147" s="23" t="s">
        <v>88</v>
      </c>
      <c r="B147" s="22" t="s">
        <v>41</v>
      </c>
      <c r="C147" s="4" t="s">
        <v>338</v>
      </c>
      <c r="D147" s="4" t="s">
        <v>54</v>
      </c>
      <c r="E147" s="7">
        <v>1127</v>
      </c>
      <c r="F147" s="5">
        <f>IFERROR(VLOOKUP(D147, Sheet2!$A:$C, 3, FALSE), 0)</f>
        <v>7899.9999999999991</v>
      </c>
      <c r="G147" s="6">
        <f t="shared" si="2"/>
        <v>8903299.9999999981</v>
      </c>
    </row>
    <row r="148" spans="1:7" ht="17.25" x14ac:dyDescent="0.3">
      <c r="A148" s="23" t="s">
        <v>88</v>
      </c>
      <c r="B148" s="22" t="s">
        <v>30</v>
      </c>
      <c r="C148" s="4" t="s">
        <v>337</v>
      </c>
      <c r="D148" s="4" t="s">
        <v>9</v>
      </c>
      <c r="E148" s="7">
        <v>1134</v>
      </c>
      <c r="F148" s="5">
        <f>IFERROR(VLOOKUP(D148, Sheet2!$A:$C, 3, FALSE), 0)</f>
        <v>18636.363636363636</v>
      </c>
      <c r="G148" s="6">
        <f t="shared" si="2"/>
        <v>21133636.363636363</v>
      </c>
    </row>
    <row r="149" spans="1:7" ht="17.25" x14ac:dyDescent="0.3">
      <c r="A149" s="23" t="s">
        <v>88</v>
      </c>
      <c r="B149" s="22" t="s">
        <v>30</v>
      </c>
      <c r="C149" s="4" t="s">
        <v>337</v>
      </c>
      <c r="D149" s="4" t="s">
        <v>12</v>
      </c>
      <c r="E149" s="7">
        <v>471</v>
      </c>
      <c r="F149" s="5">
        <f>IFERROR(VLOOKUP(D149, Sheet2!$A:$C, 3, FALSE), 0)</f>
        <v>26363.63636363636</v>
      </c>
      <c r="G149" s="6">
        <f t="shared" si="2"/>
        <v>12417272.727272727</v>
      </c>
    </row>
    <row r="150" spans="1:7" ht="17.25" x14ac:dyDescent="0.3">
      <c r="A150" s="23" t="s">
        <v>88</v>
      </c>
      <c r="B150" s="22" t="s">
        <v>8</v>
      </c>
      <c r="C150" s="4" t="s">
        <v>339</v>
      </c>
      <c r="D150" s="4" t="s">
        <v>10</v>
      </c>
      <c r="E150" s="7">
        <v>90</v>
      </c>
      <c r="F150" s="5">
        <f>IFERROR(VLOOKUP(D150, Sheet2!$A:$C, 3, FALSE), 0)</f>
        <v>20818.181818181816</v>
      </c>
      <c r="G150" s="6">
        <f t="shared" si="2"/>
        <v>1873636.3636363635</v>
      </c>
    </row>
    <row r="151" spans="1:7" ht="17.25" x14ac:dyDescent="0.3">
      <c r="A151" s="23" t="s">
        <v>88</v>
      </c>
      <c r="B151" s="22" t="s">
        <v>46</v>
      </c>
      <c r="C151" s="4" t="s">
        <v>342</v>
      </c>
      <c r="D151" s="4" t="s">
        <v>61</v>
      </c>
      <c r="E151" s="7">
        <v>142</v>
      </c>
      <c r="F151" s="5">
        <f>IFERROR(VLOOKUP(D151, Sheet2!$A:$C, 3, FALSE), 0)</f>
        <v>7363.6363636363631</v>
      </c>
      <c r="G151" s="6">
        <f t="shared" si="2"/>
        <v>1045636.3636363635</v>
      </c>
    </row>
    <row r="152" spans="1:7" ht="17.25" x14ac:dyDescent="0.3">
      <c r="A152" s="22" t="s">
        <v>88</v>
      </c>
      <c r="B152" s="22" t="s">
        <v>33</v>
      </c>
      <c r="C152" s="4" t="s">
        <v>337</v>
      </c>
      <c r="D152" s="4" t="s">
        <v>12</v>
      </c>
      <c r="E152" s="7">
        <v>360</v>
      </c>
      <c r="F152" s="5">
        <f>IFERROR(VLOOKUP(D152, Sheet2!$A:$C, 3, FALSE), 0)</f>
        <v>26363.63636363636</v>
      </c>
      <c r="G152" s="6">
        <f t="shared" si="2"/>
        <v>9490909.0909090899</v>
      </c>
    </row>
    <row r="153" spans="1:7" ht="17.25" x14ac:dyDescent="0.3">
      <c r="A153" s="22" t="s">
        <v>88</v>
      </c>
      <c r="B153" s="22" t="s">
        <v>33</v>
      </c>
      <c r="C153" s="4" t="s">
        <v>337</v>
      </c>
      <c r="D153" s="4" t="s">
        <v>9</v>
      </c>
      <c r="E153" s="7">
        <v>943</v>
      </c>
      <c r="F153" s="5">
        <f>IFERROR(VLOOKUP(D153, Sheet2!$A:$C, 3, FALSE), 0)</f>
        <v>18636.363636363636</v>
      </c>
      <c r="G153" s="6">
        <f t="shared" si="2"/>
        <v>17574090.90909091</v>
      </c>
    </row>
    <row r="154" spans="1:7" ht="17.25" x14ac:dyDescent="0.3">
      <c r="A154" s="23" t="s">
        <v>91</v>
      </c>
      <c r="B154" s="22" t="s">
        <v>60</v>
      </c>
      <c r="C154" s="4" t="s">
        <v>337</v>
      </c>
      <c r="D154" s="4" t="s">
        <v>9</v>
      </c>
      <c r="E154" s="7">
        <v>393</v>
      </c>
      <c r="F154" s="5">
        <f>IFERROR(VLOOKUP(D154, Sheet2!$A:$C, 3, FALSE), 0)</f>
        <v>18636.363636363636</v>
      </c>
      <c r="G154" s="6">
        <f t="shared" si="2"/>
        <v>7324090.9090909092</v>
      </c>
    </row>
    <row r="155" spans="1:7" ht="17.25" x14ac:dyDescent="0.3">
      <c r="A155" s="23" t="s">
        <v>91</v>
      </c>
      <c r="B155" s="22" t="s">
        <v>60</v>
      </c>
      <c r="C155" s="4" t="s">
        <v>344</v>
      </c>
      <c r="D155" s="4" t="s">
        <v>32</v>
      </c>
      <c r="E155" s="7">
        <v>387</v>
      </c>
      <c r="F155" s="5">
        <f>IFERROR(VLOOKUP(D155, Sheet2!$A:$C, 3, FALSE), 0)</f>
        <v>4363.6363636363631</v>
      </c>
      <c r="G155" s="6">
        <f t="shared" si="2"/>
        <v>1688727.2727272725</v>
      </c>
    </row>
    <row r="156" spans="1:7" ht="17.25" x14ac:dyDescent="0.3">
      <c r="A156" s="23" t="s">
        <v>91</v>
      </c>
      <c r="B156" s="22" t="s">
        <v>21</v>
      </c>
      <c r="C156" s="4" t="s">
        <v>344</v>
      </c>
      <c r="D156" s="4" t="s">
        <v>20</v>
      </c>
      <c r="E156" s="7">
        <v>224</v>
      </c>
      <c r="F156" s="5">
        <f>IFERROR(VLOOKUP(D156, Sheet2!$A:$C, 3, FALSE), 0)</f>
        <v>6999.9999999999991</v>
      </c>
      <c r="G156" s="6">
        <f t="shared" si="2"/>
        <v>1567999.9999999998</v>
      </c>
    </row>
    <row r="157" spans="1:7" ht="17.25" x14ac:dyDescent="0.3">
      <c r="A157" s="23" t="s">
        <v>91</v>
      </c>
      <c r="B157" s="22" t="s">
        <v>24</v>
      </c>
      <c r="C157" s="4" t="s">
        <v>344</v>
      </c>
      <c r="D157" s="4" t="s">
        <v>22</v>
      </c>
      <c r="E157" s="7">
        <v>73</v>
      </c>
      <c r="F157" s="5">
        <f>IFERROR(VLOOKUP(D157, Sheet2!$A:$C, 3, FALSE), 0)</f>
        <v>5999.9999999999991</v>
      </c>
      <c r="G157" s="6">
        <f t="shared" si="2"/>
        <v>437999.99999999994</v>
      </c>
    </row>
    <row r="158" spans="1:7" ht="17.25" x14ac:dyDescent="0.3">
      <c r="A158" s="23" t="s">
        <v>91</v>
      </c>
      <c r="B158" s="22" t="s">
        <v>24</v>
      </c>
      <c r="C158" s="4" t="s">
        <v>341</v>
      </c>
      <c r="D158" s="4" t="s">
        <v>17</v>
      </c>
      <c r="E158" s="7">
        <v>93</v>
      </c>
      <c r="F158" s="5">
        <f>IFERROR(VLOOKUP(D158, Sheet2!$A:$C, 3, FALSE), 0)</f>
        <v>11700</v>
      </c>
      <c r="G158" s="6">
        <f t="shared" si="2"/>
        <v>1088100</v>
      </c>
    </row>
    <row r="159" spans="1:7" ht="17.25" x14ac:dyDescent="0.3">
      <c r="A159" s="23" t="s">
        <v>92</v>
      </c>
      <c r="B159" s="22" t="s">
        <v>8</v>
      </c>
      <c r="C159" s="4" t="s">
        <v>342</v>
      </c>
      <c r="D159" s="4" t="s">
        <v>61</v>
      </c>
      <c r="E159" s="7">
        <v>51</v>
      </c>
      <c r="F159" s="5">
        <f>IFERROR(VLOOKUP(D159, Sheet2!$A:$C, 3, FALSE), 0)</f>
        <v>7363.6363636363631</v>
      </c>
      <c r="G159" s="6">
        <f t="shared" si="2"/>
        <v>375545.45454545453</v>
      </c>
    </row>
    <row r="160" spans="1:7" ht="17.25" x14ac:dyDescent="0.3">
      <c r="A160" s="23" t="s">
        <v>92</v>
      </c>
      <c r="B160" s="22" t="s">
        <v>11</v>
      </c>
      <c r="C160" s="4" t="s">
        <v>344</v>
      </c>
      <c r="D160" s="4" t="s">
        <v>38</v>
      </c>
      <c r="E160" s="7">
        <v>397</v>
      </c>
      <c r="F160" s="5">
        <f>IFERROR(VLOOKUP(D160, Sheet2!$A:$C, 3, FALSE), 0)</f>
        <v>5909.090909090909</v>
      </c>
      <c r="G160" s="6">
        <f t="shared" si="2"/>
        <v>2345909.0909090908</v>
      </c>
    </row>
    <row r="161" spans="1:7" ht="17.25" x14ac:dyDescent="0.3">
      <c r="A161" s="23" t="s">
        <v>92</v>
      </c>
      <c r="B161" s="22" t="s">
        <v>75</v>
      </c>
      <c r="C161" s="4" t="s">
        <v>342</v>
      </c>
      <c r="D161" s="4" t="s">
        <v>61</v>
      </c>
      <c r="E161" s="7">
        <v>118</v>
      </c>
      <c r="F161" s="5">
        <f>IFERROR(VLOOKUP(D161, Sheet2!$A:$C, 3, FALSE), 0)</f>
        <v>7363.6363636363631</v>
      </c>
      <c r="G161" s="6">
        <f t="shared" si="2"/>
        <v>868909.09090909082</v>
      </c>
    </row>
    <row r="162" spans="1:7" ht="17.25" x14ac:dyDescent="0.3">
      <c r="A162" s="23" t="s">
        <v>92</v>
      </c>
      <c r="B162" s="22" t="s">
        <v>16</v>
      </c>
      <c r="C162" s="4" t="s">
        <v>341</v>
      </c>
      <c r="D162" s="4" t="s">
        <v>17</v>
      </c>
      <c r="E162" s="7">
        <v>73</v>
      </c>
      <c r="F162" s="5">
        <f>IFERROR(VLOOKUP(D162, Sheet2!$A:$C, 3, FALSE), 0)</f>
        <v>11700</v>
      </c>
      <c r="G162" s="6">
        <f t="shared" si="2"/>
        <v>854100</v>
      </c>
    </row>
    <row r="163" spans="1:7" ht="17.25" x14ac:dyDescent="0.3">
      <c r="A163" s="23" t="s">
        <v>92</v>
      </c>
      <c r="B163" s="22" t="s">
        <v>93</v>
      </c>
      <c r="C163" s="4" t="s">
        <v>337</v>
      </c>
      <c r="D163" s="4" t="s">
        <v>94</v>
      </c>
      <c r="E163" s="7">
        <v>843</v>
      </c>
      <c r="F163" s="5">
        <f>IFERROR(VLOOKUP(D163, Sheet2!$A:$C, 3, FALSE), 0)</f>
        <v>14181.81818181818</v>
      </c>
      <c r="G163" s="6">
        <f t="shared" si="2"/>
        <v>11955272.727272727</v>
      </c>
    </row>
    <row r="164" spans="1:7" ht="17.25" x14ac:dyDescent="0.3">
      <c r="A164" s="23" t="s">
        <v>92</v>
      </c>
      <c r="B164" s="22" t="s">
        <v>95</v>
      </c>
      <c r="C164" s="4" t="s">
        <v>337</v>
      </c>
      <c r="D164" s="4" t="s">
        <v>94</v>
      </c>
      <c r="E164" s="7">
        <v>560</v>
      </c>
      <c r="F164" s="5">
        <f>IFERROR(VLOOKUP(D164, Sheet2!$A:$C, 3, FALSE), 0)</f>
        <v>14181.81818181818</v>
      </c>
      <c r="G164" s="6">
        <f t="shared" si="2"/>
        <v>7941818.1818181807</v>
      </c>
    </row>
    <row r="165" spans="1:7" ht="17.25" x14ac:dyDescent="0.3">
      <c r="A165" s="23" t="s">
        <v>92</v>
      </c>
      <c r="B165" s="22" t="s">
        <v>24</v>
      </c>
      <c r="C165" s="4" t="s">
        <v>344</v>
      </c>
      <c r="D165" s="4" t="s">
        <v>20</v>
      </c>
      <c r="E165" s="7">
        <v>167</v>
      </c>
      <c r="F165" s="5">
        <f>IFERROR(VLOOKUP(D165, Sheet2!$A:$C, 3, FALSE), 0)</f>
        <v>6999.9999999999991</v>
      </c>
      <c r="G165" s="6">
        <f t="shared" si="2"/>
        <v>1168999.9999999998</v>
      </c>
    </row>
    <row r="166" spans="1:7" ht="17.25" x14ac:dyDescent="0.3">
      <c r="A166" s="23" t="s">
        <v>92</v>
      </c>
      <c r="B166" s="22" t="s">
        <v>27</v>
      </c>
      <c r="C166" s="4" t="s">
        <v>338</v>
      </c>
      <c r="D166" s="4" t="s">
        <v>28</v>
      </c>
      <c r="E166" s="7">
        <v>590</v>
      </c>
      <c r="F166" s="5">
        <f>IFERROR(VLOOKUP(D166, Sheet2!$A:$C, 3, FALSE), 0)</f>
        <v>7899.9999999999991</v>
      </c>
      <c r="G166" s="6">
        <f t="shared" si="2"/>
        <v>4660999.9999999991</v>
      </c>
    </row>
    <row r="167" spans="1:7" ht="17.25" x14ac:dyDescent="0.3">
      <c r="A167" s="23" t="s">
        <v>92</v>
      </c>
      <c r="B167" s="22" t="s">
        <v>27</v>
      </c>
      <c r="C167" s="4" t="s">
        <v>344</v>
      </c>
      <c r="D167" s="4" t="s">
        <v>20</v>
      </c>
      <c r="E167" s="7">
        <v>298</v>
      </c>
      <c r="F167" s="5">
        <f>IFERROR(VLOOKUP(D167, Sheet2!$A:$C, 3, FALSE), 0)</f>
        <v>6999.9999999999991</v>
      </c>
      <c r="G167" s="6">
        <f t="shared" si="2"/>
        <v>2085999.9999999998</v>
      </c>
    </row>
    <row r="168" spans="1:7" ht="17.25" x14ac:dyDescent="0.3">
      <c r="A168" s="23" t="s">
        <v>92</v>
      </c>
      <c r="B168" s="22" t="s">
        <v>29</v>
      </c>
      <c r="C168" s="4" t="s">
        <v>344</v>
      </c>
      <c r="D168" s="4" t="s">
        <v>20</v>
      </c>
      <c r="E168" s="7">
        <v>201</v>
      </c>
      <c r="F168" s="5">
        <f>IFERROR(VLOOKUP(D168, Sheet2!$A:$C, 3, FALSE), 0)</f>
        <v>6999.9999999999991</v>
      </c>
      <c r="G168" s="6">
        <f t="shared" si="2"/>
        <v>1406999.9999999998</v>
      </c>
    </row>
    <row r="169" spans="1:7" ht="17.25" x14ac:dyDescent="0.3">
      <c r="A169" s="23" t="s">
        <v>92</v>
      </c>
      <c r="B169" s="22" t="s">
        <v>29</v>
      </c>
      <c r="C169" s="4" t="s">
        <v>338</v>
      </c>
      <c r="D169" s="4" t="s">
        <v>28</v>
      </c>
      <c r="E169" s="7">
        <v>455</v>
      </c>
      <c r="F169" s="5">
        <f>IFERROR(VLOOKUP(D169, Sheet2!$A:$C, 3, FALSE), 0)</f>
        <v>7899.9999999999991</v>
      </c>
      <c r="G169" s="6">
        <f t="shared" si="2"/>
        <v>3594499.9999999995</v>
      </c>
    </row>
    <row r="170" spans="1:7" ht="17.25" x14ac:dyDescent="0.3">
      <c r="A170" s="23" t="s">
        <v>92</v>
      </c>
      <c r="B170" s="22" t="s">
        <v>30</v>
      </c>
      <c r="C170" s="4" t="s">
        <v>344</v>
      </c>
      <c r="D170" s="4" t="s">
        <v>44</v>
      </c>
      <c r="E170" s="7">
        <v>232</v>
      </c>
      <c r="F170" s="5">
        <f>IFERROR(VLOOKUP(D170, Sheet2!$A:$C, 3, FALSE), 0)</f>
        <v>5909.090909090909</v>
      </c>
      <c r="G170" s="6">
        <f t="shared" si="2"/>
        <v>1370909.0909090908</v>
      </c>
    </row>
    <row r="171" spans="1:7" ht="17.25" x14ac:dyDescent="0.3">
      <c r="A171" s="23" t="s">
        <v>92</v>
      </c>
      <c r="B171" s="22" t="s">
        <v>30</v>
      </c>
      <c r="C171" s="4" t="s">
        <v>344</v>
      </c>
      <c r="D171" s="4" t="s">
        <v>20</v>
      </c>
      <c r="E171" s="7">
        <v>96</v>
      </c>
      <c r="F171" s="5">
        <f>IFERROR(VLOOKUP(D171, Sheet2!$A:$C, 3, FALSE), 0)</f>
        <v>6999.9999999999991</v>
      </c>
      <c r="G171" s="6">
        <f t="shared" si="2"/>
        <v>671999.99999999988</v>
      </c>
    </row>
    <row r="172" spans="1:7" ht="17.25" x14ac:dyDescent="0.3">
      <c r="A172" s="22" t="s">
        <v>92</v>
      </c>
      <c r="B172" s="22" t="s">
        <v>33</v>
      </c>
      <c r="C172" s="4" t="s">
        <v>344</v>
      </c>
      <c r="D172" s="4" t="s">
        <v>44</v>
      </c>
      <c r="E172" s="7">
        <v>173</v>
      </c>
      <c r="F172" s="5">
        <f>IFERROR(VLOOKUP(D172, Sheet2!$A:$C, 3, FALSE), 0)</f>
        <v>5909.090909090909</v>
      </c>
      <c r="G172" s="6">
        <f t="shared" si="2"/>
        <v>1022272.7272727273</v>
      </c>
    </row>
    <row r="173" spans="1:7" ht="17.25" x14ac:dyDescent="0.3">
      <c r="A173" s="22" t="s">
        <v>92</v>
      </c>
      <c r="B173" s="22" t="s">
        <v>33</v>
      </c>
      <c r="C173" s="4" t="s">
        <v>344</v>
      </c>
      <c r="D173" s="4" t="s">
        <v>20</v>
      </c>
      <c r="E173" s="7">
        <v>78</v>
      </c>
      <c r="F173" s="5">
        <f>IFERROR(VLOOKUP(D173, Sheet2!$A:$C, 3, FALSE), 0)</f>
        <v>6999.9999999999991</v>
      </c>
      <c r="G173" s="6">
        <f t="shared" si="2"/>
        <v>545999.99999999988</v>
      </c>
    </row>
    <row r="174" spans="1:7" ht="17.25" x14ac:dyDescent="0.3">
      <c r="A174" s="22" t="s">
        <v>92</v>
      </c>
      <c r="B174" s="22" t="s">
        <v>48</v>
      </c>
      <c r="C174" s="4" t="s">
        <v>340</v>
      </c>
      <c r="D174" s="4" t="s">
        <v>49</v>
      </c>
      <c r="E174" s="7">
        <v>720</v>
      </c>
      <c r="F174" s="5">
        <f>IFERROR(VLOOKUP(D174, Sheet2!$A:$C, 3, FALSE), 0)</f>
        <v>38000</v>
      </c>
      <c r="G174" s="6">
        <f t="shared" si="2"/>
        <v>27360000</v>
      </c>
    </row>
    <row r="175" spans="1:7" ht="17.25" x14ac:dyDescent="0.3">
      <c r="A175" s="23" t="s">
        <v>96</v>
      </c>
      <c r="B175" s="22" t="s">
        <v>8</v>
      </c>
      <c r="C175" s="4" t="s">
        <v>337</v>
      </c>
      <c r="D175" s="4" t="s">
        <v>94</v>
      </c>
      <c r="E175" s="7">
        <v>686</v>
      </c>
      <c r="F175" s="5">
        <f>IFERROR(VLOOKUP(D175, Sheet2!$A:$C, 3, FALSE), 0)</f>
        <v>14181.81818181818</v>
      </c>
      <c r="G175" s="6">
        <f t="shared" si="2"/>
        <v>9728727.2727272715</v>
      </c>
    </row>
    <row r="176" spans="1:7" ht="17.25" x14ac:dyDescent="0.3">
      <c r="A176" s="23" t="s">
        <v>96</v>
      </c>
      <c r="B176" s="22" t="s">
        <v>14</v>
      </c>
      <c r="C176" s="4" t="s">
        <v>337</v>
      </c>
      <c r="D176" s="4" t="s">
        <v>78</v>
      </c>
      <c r="E176" s="7">
        <v>1178</v>
      </c>
      <c r="F176" s="5">
        <f>IFERROR(VLOOKUP(D176, Sheet2!$A:$C, 3, FALSE), 0)</f>
        <v>14999.999999999998</v>
      </c>
      <c r="G176" s="6">
        <f t="shared" si="2"/>
        <v>17669999.999999996</v>
      </c>
    </row>
    <row r="177" spans="1:7" ht="17.25" x14ac:dyDescent="0.3">
      <c r="A177" s="23" t="s">
        <v>96</v>
      </c>
      <c r="B177" s="22" t="s">
        <v>14</v>
      </c>
      <c r="C177" s="4" t="s">
        <v>344</v>
      </c>
      <c r="D177" s="4" t="s">
        <v>32</v>
      </c>
      <c r="E177" s="7">
        <v>330</v>
      </c>
      <c r="F177" s="5">
        <f>IFERROR(VLOOKUP(D177, Sheet2!$A:$C, 3, FALSE), 0)</f>
        <v>4363.6363636363631</v>
      </c>
      <c r="G177" s="6">
        <f t="shared" si="2"/>
        <v>1439999.9999999998</v>
      </c>
    </row>
    <row r="178" spans="1:7" ht="17.25" x14ac:dyDescent="0.3">
      <c r="A178" s="23" t="s">
        <v>96</v>
      </c>
      <c r="B178" s="22" t="s">
        <v>16</v>
      </c>
      <c r="C178" s="4" t="s">
        <v>341</v>
      </c>
      <c r="D178" s="4" t="s">
        <v>17</v>
      </c>
      <c r="E178" s="7">
        <v>126</v>
      </c>
      <c r="F178" s="5">
        <f>IFERROR(VLOOKUP(D178, Sheet2!$A:$C, 3, FALSE), 0)</f>
        <v>11700</v>
      </c>
      <c r="G178" s="6">
        <f t="shared" si="2"/>
        <v>1474200</v>
      </c>
    </row>
    <row r="179" spans="1:7" ht="17.25" x14ac:dyDescent="0.3">
      <c r="A179" s="23" t="s">
        <v>96</v>
      </c>
      <c r="B179" s="22" t="s">
        <v>16</v>
      </c>
      <c r="C179" s="4" t="s">
        <v>344</v>
      </c>
      <c r="D179" s="4" t="s">
        <v>53</v>
      </c>
      <c r="E179" s="7">
        <v>1103</v>
      </c>
      <c r="F179" s="5">
        <f>IFERROR(VLOOKUP(D179, Sheet2!$A:$C, 3, FALSE), 0)</f>
        <v>5818.181818181818</v>
      </c>
      <c r="G179" s="6">
        <f t="shared" si="2"/>
        <v>6417454.5454545449</v>
      </c>
    </row>
    <row r="180" spans="1:7" ht="17.25" x14ac:dyDescent="0.3">
      <c r="A180" s="23" t="s">
        <v>96</v>
      </c>
      <c r="B180" s="22" t="s">
        <v>19</v>
      </c>
      <c r="C180" s="4" t="s">
        <v>344</v>
      </c>
      <c r="D180" s="4" t="s">
        <v>52</v>
      </c>
      <c r="E180" s="7">
        <v>334</v>
      </c>
      <c r="F180" s="5">
        <f>IFERROR(VLOOKUP(D180, Sheet2!$A:$C, 3, FALSE), 0)</f>
        <v>5999.9999999999991</v>
      </c>
      <c r="G180" s="6">
        <f t="shared" si="2"/>
        <v>2003999.9999999998</v>
      </c>
    </row>
    <row r="181" spans="1:7" ht="17.25" x14ac:dyDescent="0.3">
      <c r="A181" s="23" t="s">
        <v>96</v>
      </c>
      <c r="B181" s="22" t="s">
        <v>30</v>
      </c>
      <c r="C181" s="4" t="s">
        <v>338</v>
      </c>
      <c r="D181" s="4" t="s">
        <v>54</v>
      </c>
      <c r="E181" s="7">
        <v>441</v>
      </c>
      <c r="F181" s="5">
        <f>IFERROR(VLOOKUP(D181, Sheet2!$A:$C, 3, FALSE), 0)</f>
        <v>7899.9999999999991</v>
      </c>
      <c r="G181" s="6">
        <f t="shared" si="2"/>
        <v>3483899.9999999995</v>
      </c>
    </row>
    <row r="182" spans="1:7" ht="17.25" x14ac:dyDescent="0.3">
      <c r="A182" s="23" t="s">
        <v>96</v>
      </c>
      <c r="B182" s="22" t="s">
        <v>30</v>
      </c>
      <c r="C182" s="4" t="s">
        <v>344</v>
      </c>
      <c r="D182" s="4" t="s">
        <v>44</v>
      </c>
      <c r="E182" s="7">
        <v>158</v>
      </c>
      <c r="F182" s="5">
        <f>IFERROR(VLOOKUP(D182, Sheet2!$A:$C, 3, FALSE), 0)</f>
        <v>5909.090909090909</v>
      </c>
      <c r="G182" s="6">
        <f t="shared" si="2"/>
        <v>933636.36363636365</v>
      </c>
    </row>
    <row r="183" spans="1:7" ht="17.25" x14ac:dyDescent="0.3">
      <c r="A183" s="22" t="s">
        <v>96</v>
      </c>
      <c r="B183" s="22" t="s">
        <v>33</v>
      </c>
      <c r="C183" s="4" t="s">
        <v>338</v>
      </c>
      <c r="D183" s="4" t="s">
        <v>54</v>
      </c>
      <c r="E183" s="7">
        <v>367</v>
      </c>
      <c r="F183" s="5">
        <f>IFERROR(VLOOKUP(D183, Sheet2!$A:$C, 3, FALSE), 0)</f>
        <v>7899.9999999999991</v>
      </c>
      <c r="G183" s="6">
        <f t="shared" si="2"/>
        <v>2899299.9999999995</v>
      </c>
    </row>
    <row r="184" spans="1:7" ht="17.25" x14ac:dyDescent="0.3">
      <c r="A184" s="22" t="s">
        <v>96</v>
      </c>
      <c r="B184" s="22" t="s">
        <v>33</v>
      </c>
      <c r="C184" s="4" t="s">
        <v>344</v>
      </c>
      <c r="D184" s="4" t="s">
        <v>44</v>
      </c>
      <c r="E184" s="7">
        <v>111</v>
      </c>
      <c r="F184" s="5">
        <f>IFERROR(VLOOKUP(D184, Sheet2!$A:$C, 3, FALSE), 0)</f>
        <v>5909.090909090909</v>
      </c>
      <c r="G184" s="6">
        <f t="shared" si="2"/>
        <v>655909.09090909094</v>
      </c>
    </row>
    <row r="185" spans="1:7" ht="17.25" x14ac:dyDescent="0.3">
      <c r="A185" s="22" t="s">
        <v>96</v>
      </c>
      <c r="B185" s="22" t="s">
        <v>18</v>
      </c>
      <c r="C185" s="4" t="s">
        <v>339</v>
      </c>
      <c r="D185" s="4" t="s">
        <v>97</v>
      </c>
      <c r="E185" s="7">
        <v>790</v>
      </c>
      <c r="F185" s="5">
        <f>IFERROR(VLOOKUP(D185, Sheet2!$A:$C, 3, FALSE), 0)</f>
        <v>17181.81818181818</v>
      </c>
      <c r="G185" s="6">
        <f t="shared" si="2"/>
        <v>13573636.363636361</v>
      </c>
    </row>
    <row r="186" spans="1:7" ht="17.25" x14ac:dyDescent="0.3">
      <c r="A186" s="23" t="s">
        <v>98</v>
      </c>
      <c r="B186" s="22" t="s">
        <v>60</v>
      </c>
      <c r="C186" s="4" t="s">
        <v>337</v>
      </c>
      <c r="D186" s="4" t="s">
        <v>26</v>
      </c>
      <c r="E186" s="7">
        <v>218</v>
      </c>
      <c r="F186" s="5">
        <f>IFERROR(VLOOKUP(D186, Sheet2!$A:$C, 3, FALSE), 0)</f>
        <v>21000</v>
      </c>
      <c r="G186" s="6">
        <f t="shared" si="2"/>
        <v>4578000</v>
      </c>
    </row>
    <row r="187" spans="1:7" ht="17.25" x14ac:dyDescent="0.3">
      <c r="A187" s="23" t="s">
        <v>98</v>
      </c>
      <c r="B187" s="22" t="s">
        <v>24</v>
      </c>
      <c r="C187" s="4" t="s">
        <v>341</v>
      </c>
      <c r="D187" s="4" t="s">
        <v>17</v>
      </c>
      <c r="E187" s="7">
        <v>60</v>
      </c>
      <c r="F187" s="5">
        <f>IFERROR(VLOOKUP(D187, Sheet2!$A:$C, 3, FALSE), 0)</f>
        <v>11700</v>
      </c>
      <c r="G187" s="6">
        <f t="shared" si="2"/>
        <v>702000</v>
      </c>
    </row>
    <row r="188" spans="1:7" ht="17.25" x14ac:dyDescent="0.3">
      <c r="A188" s="23" t="s">
        <v>98</v>
      </c>
      <c r="B188" s="22" t="s">
        <v>99</v>
      </c>
      <c r="C188" s="4" t="s">
        <v>342</v>
      </c>
      <c r="D188" s="4" t="s">
        <v>35</v>
      </c>
      <c r="E188" s="7">
        <v>166</v>
      </c>
      <c r="F188" s="5">
        <f>IFERROR(VLOOKUP(D188, Sheet2!$A:$C, 3, FALSE), 0)</f>
        <v>8363.6363636363621</v>
      </c>
      <c r="G188" s="6">
        <f t="shared" si="2"/>
        <v>1388363.636363636</v>
      </c>
    </row>
    <row r="189" spans="1:7" ht="17.25" x14ac:dyDescent="0.3">
      <c r="A189" s="22" t="s">
        <v>98</v>
      </c>
      <c r="B189" s="22" t="s">
        <v>21</v>
      </c>
      <c r="C189" s="4" t="s">
        <v>339</v>
      </c>
      <c r="D189" s="4" t="s">
        <v>76</v>
      </c>
      <c r="E189" s="7">
        <v>392</v>
      </c>
      <c r="F189" s="5">
        <f>IFERROR(VLOOKUP(D189, Sheet2!$A:$C, 3, FALSE), 0)</f>
        <v>8636.363636363636</v>
      </c>
      <c r="G189" s="6">
        <f t="shared" si="2"/>
        <v>3385454.5454545454</v>
      </c>
    </row>
    <row r="190" spans="1:7" ht="17.25" x14ac:dyDescent="0.3">
      <c r="A190" s="23" t="s">
        <v>100</v>
      </c>
      <c r="B190" s="22" t="s">
        <v>8</v>
      </c>
      <c r="C190" s="4" t="s">
        <v>342</v>
      </c>
      <c r="D190" s="4" t="s">
        <v>35</v>
      </c>
      <c r="E190" s="7">
        <v>105</v>
      </c>
      <c r="F190" s="5">
        <f>IFERROR(VLOOKUP(D190, Sheet2!$A:$C, 3, FALSE), 0)</f>
        <v>8363.6363636363621</v>
      </c>
      <c r="G190" s="6">
        <f t="shared" si="2"/>
        <v>878181.818181818</v>
      </c>
    </row>
    <row r="191" spans="1:7" ht="17.25" x14ac:dyDescent="0.3">
      <c r="A191" s="23" t="s">
        <v>100</v>
      </c>
      <c r="B191" s="22" t="s">
        <v>8</v>
      </c>
      <c r="C191" s="4" t="s">
        <v>337</v>
      </c>
      <c r="D191" s="4" t="s">
        <v>78</v>
      </c>
      <c r="E191" s="7">
        <v>576</v>
      </c>
      <c r="F191" s="5">
        <f>IFERROR(VLOOKUP(D191, Sheet2!$A:$C, 3, FALSE), 0)</f>
        <v>14999.999999999998</v>
      </c>
      <c r="G191" s="6">
        <f t="shared" si="2"/>
        <v>8639999.9999999981</v>
      </c>
    </row>
    <row r="192" spans="1:7" ht="17.25" x14ac:dyDescent="0.3">
      <c r="A192" s="23" t="s">
        <v>100</v>
      </c>
      <c r="B192" s="22" t="s">
        <v>14</v>
      </c>
      <c r="C192" s="4" t="s">
        <v>344</v>
      </c>
      <c r="D192" s="4" t="s">
        <v>15</v>
      </c>
      <c r="E192" s="7">
        <v>399</v>
      </c>
      <c r="F192" s="5">
        <f>IFERROR(VLOOKUP(D192, Sheet2!$A:$C, 3, FALSE), 0)</f>
        <v>3863.6363636363635</v>
      </c>
      <c r="G192" s="6">
        <f t="shared" si="2"/>
        <v>1541590.9090909089</v>
      </c>
    </row>
    <row r="193" spans="1:7" ht="17.25" x14ac:dyDescent="0.3">
      <c r="A193" s="23" t="s">
        <v>100</v>
      </c>
      <c r="B193" s="22" t="s">
        <v>16</v>
      </c>
      <c r="C193" s="4" t="s">
        <v>337</v>
      </c>
      <c r="D193" s="4" t="s">
        <v>101</v>
      </c>
      <c r="E193" s="7">
        <v>1291</v>
      </c>
      <c r="F193" s="5">
        <f>IFERROR(VLOOKUP(D193, Sheet2!$A:$C, 3, FALSE), 0)</f>
        <v>18090.909090909088</v>
      </c>
      <c r="G193" s="6">
        <f t="shared" si="2"/>
        <v>23355363.636363633</v>
      </c>
    </row>
    <row r="194" spans="1:7" ht="17.25" x14ac:dyDescent="0.3">
      <c r="A194" s="23" t="s">
        <v>100</v>
      </c>
      <c r="B194" s="22" t="s">
        <v>16</v>
      </c>
      <c r="C194" s="4" t="s">
        <v>341</v>
      </c>
      <c r="D194" s="4" t="s">
        <v>17</v>
      </c>
      <c r="E194" s="7">
        <v>90</v>
      </c>
      <c r="F194" s="5">
        <f>IFERROR(VLOOKUP(D194, Sheet2!$A:$C, 3, FALSE), 0)</f>
        <v>11700</v>
      </c>
      <c r="G194" s="6">
        <f t="shared" si="2"/>
        <v>1053000</v>
      </c>
    </row>
    <row r="195" spans="1:7" ht="17.25" x14ac:dyDescent="0.3">
      <c r="A195" s="23" t="s">
        <v>100</v>
      </c>
      <c r="B195" s="22" t="s">
        <v>93</v>
      </c>
      <c r="C195" s="4" t="s">
        <v>344</v>
      </c>
      <c r="D195" s="4" t="s">
        <v>15</v>
      </c>
      <c r="E195" s="7">
        <v>344</v>
      </c>
      <c r="F195" s="5">
        <f>IFERROR(VLOOKUP(D195, Sheet2!$A:$C, 3, FALSE), 0)</f>
        <v>3863.6363636363635</v>
      </c>
      <c r="G195" s="6">
        <f t="shared" ref="G195:G258" si="3">E195*F195</f>
        <v>1329090.9090909089</v>
      </c>
    </row>
    <row r="196" spans="1:7" ht="17.25" x14ac:dyDescent="0.3">
      <c r="A196" s="23" t="s">
        <v>100</v>
      </c>
      <c r="B196" s="22" t="s">
        <v>95</v>
      </c>
      <c r="C196" s="4" t="s">
        <v>344</v>
      </c>
      <c r="D196" s="4" t="s">
        <v>15</v>
      </c>
      <c r="E196" s="7">
        <v>223</v>
      </c>
      <c r="F196" s="5">
        <f>IFERROR(VLOOKUP(D196, Sheet2!$A:$C, 3, FALSE), 0)</f>
        <v>3863.6363636363635</v>
      </c>
      <c r="G196" s="6">
        <f t="shared" si="3"/>
        <v>861590.90909090906</v>
      </c>
    </row>
    <row r="197" spans="1:7" ht="17.25" x14ac:dyDescent="0.3">
      <c r="A197" s="23" t="s">
        <v>100</v>
      </c>
      <c r="B197" s="22" t="s">
        <v>25</v>
      </c>
      <c r="C197" s="4" t="s">
        <v>344</v>
      </c>
      <c r="D197" s="4" t="s">
        <v>22</v>
      </c>
      <c r="E197" s="7">
        <v>101</v>
      </c>
      <c r="F197" s="5">
        <f>IFERROR(VLOOKUP(D197, Sheet2!$A:$C, 3, FALSE), 0)</f>
        <v>5999.9999999999991</v>
      </c>
      <c r="G197" s="6">
        <f t="shared" si="3"/>
        <v>605999.99999999988</v>
      </c>
    </row>
    <row r="198" spans="1:7" ht="17.25" x14ac:dyDescent="0.3">
      <c r="A198" s="23" t="s">
        <v>100</v>
      </c>
      <c r="B198" s="22" t="s">
        <v>102</v>
      </c>
      <c r="C198" s="4" t="s">
        <v>344</v>
      </c>
      <c r="D198" s="4" t="s">
        <v>15</v>
      </c>
      <c r="E198" s="7">
        <v>103</v>
      </c>
      <c r="F198" s="5">
        <f>IFERROR(VLOOKUP(D198, Sheet2!$A:$C, 3, FALSE), 0)</f>
        <v>3863.6363636363635</v>
      </c>
      <c r="G198" s="6">
        <f t="shared" si="3"/>
        <v>397954.54545454547</v>
      </c>
    </row>
    <row r="199" spans="1:7" ht="17.25" x14ac:dyDescent="0.3">
      <c r="A199" s="23" t="s">
        <v>100</v>
      </c>
      <c r="B199" s="22" t="s">
        <v>43</v>
      </c>
      <c r="C199" s="4" t="s">
        <v>341</v>
      </c>
      <c r="D199" s="4" t="s">
        <v>68</v>
      </c>
      <c r="E199" s="7">
        <v>79</v>
      </c>
      <c r="F199" s="5">
        <f>IFERROR(VLOOKUP(D199, Sheet2!$A:$C, 3, FALSE), 0)</f>
        <v>13400</v>
      </c>
      <c r="G199" s="6">
        <f t="shared" si="3"/>
        <v>1058600</v>
      </c>
    </row>
    <row r="200" spans="1:7" ht="17.25" x14ac:dyDescent="0.3">
      <c r="A200" s="23" t="s">
        <v>100</v>
      </c>
      <c r="B200" s="22" t="s">
        <v>103</v>
      </c>
      <c r="C200" s="4" t="s">
        <v>342</v>
      </c>
      <c r="D200" s="4" t="s">
        <v>35</v>
      </c>
      <c r="E200" s="7">
        <v>350</v>
      </c>
      <c r="F200" s="5">
        <f>IFERROR(VLOOKUP(D200, Sheet2!$A:$C, 3, FALSE), 0)</f>
        <v>8363.6363636363621</v>
      </c>
      <c r="G200" s="6">
        <f t="shared" si="3"/>
        <v>2927272.7272727266</v>
      </c>
    </row>
    <row r="201" spans="1:7" ht="17.25" x14ac:dyDescent="0.3">
      <c r="A201" s="23" t="s">
        <v>100</v>
      </c>
      <c r="B201" s="22" t="s">
        <v>46</v>
      </c>
      <c r="C201" s="4" t="s">
        <v>344</v>
      </c>
      <c r="D201" s="4" t="s">
        <v>52</v>
      </c>
      <c r="E201" s="7">
        <v>480</v>
      </c>
      <c r="F201" s="5">
        <f>IFERROR(VLOOKUP(D201, Sheet2!$A:$C, 3, FALSE), 0)</f>
        <v>5999.9999999999991</v>
      </c>
      <c r="G201" s="6">
        <f t="shared" si="3"/>
        <v>2879999.9999999995</v>
      </c>
    </row>
    <row r="202" spans="1:7" ht="17.25" x14ac:dyDescent="0.3">
      <c r="A202" s="23" t="s">
        <v>100</v>
      </c>
      <c r="B202" s="22" t="s">
        <v>69</v>
      </c>
      <c r="C202" s="4" t="s">
        <v>337</v>
      </c>
      <c r="D202" s="4" t="s">
        <v>86</v>
      </c>
      <c r="E202" s="7">
        <v>1998</v>
      </c>
      <c r="F202" s="5">
        <f>IFERROR(VLOOKUP(D202, Sheet2!$A:$C, 3, FALSE), 0)</f>
        <v>14999.999999999998</v>
      </c>
      <c r="G202" s="6">
        <f t="shared" si="3"/>
        <v>29969999.999999996</v>
      </c>
    </row>
    <row r="203" spans="1:7" ht="17.25" x14ac:dyDescent="0.3">
      <c r="A203" s="22" t="s">
        <v>104</v>
      </c>
      <c r="B203" s="22" t="s">
        <v>48</v>
      </c>
      <c r="C203" s="4" t="s">
        <v>337</v>
      </c>
      <c r="D203" s="4" t="s">
        <v>26</v>
      </c>
      <c r="E203" s="7">
        <v>435</v>
      </c>
      <c r="F203" s="5">
        <f>IFERROR(VLOOKUP(D203, Sheet2!$A:$C, 3, FALSE), 0)</f>
        <v>21000</v>
      </c>
      <c r="G203" s="6">
        <f t="shared" si="3"/>
        <v>9135000</v>
      </c>
    </row>
    <row r="204" spans="1:7" ht="17.25" x14ac:dyDescent="0.3">
      <c r="A204" s="22" t="s">
        <v>104</v>
      </c>
      <c r="B204" s="22" t="s">
        <v>21</v>
      </c>
      <c r="C204" s="4" t="s">
        <v>344</v>
      </c>
      <c r="D204" s="4" t="s">
        <v>22</v>
      </c>
      <c r="E204" s="7">
        <v>113</v>
      </c>
      <c r="F204" s="5">
        <f>IFERROR(VLOOKUP(D204, Sheet2!$A:$C, 3, FALSE), 0)</f>
        <v>5999.9999999999991</v>
      </c>
      <c r="G204" s="6">
        <f t="shared" si="3"/>
        <v>677999.99999999988</v>
      </c>
    </row>
    <row r="205" spans="1:7" ht="17.25" x14ac:dyDescent="0.3">
      <c r="A205" s="22" t="s">
        <v>104</v>
      </c>
      <c r="B205" s="22" t="s">
        <v>24</v>
      </c>
      <c r="C205" s="4" t="s">
        <v>337</v>
      </c>
      <c r="D205" s="4" t="s">
        <v>6</v>
      </c>
      <c r="E205" s="7">
        <v>544</v>
      </c>
      <c r="F205" s="5">
        <f>IFERROR(VLOOKUP(D205, Sheet2!$A:$C, 3, FALSE), 0)</f>
        <v>14999.999999999998</v>
      </c>
      <c r="G205" s="6">
        <f t="shared" si="3"/>
        <v>8159999.9999999991</v>
      </c>
    </row>
    <row r="206" spans="1:7" ht="17.25" x14ac:dyDescent="0.3">
      <c r="A206" s="22" t="s">
        <v>104</v>
      </c>
      <c r="B206" s="22" t="s">
        <v>24</v>
      </c>
      <c r="C206" s="4" t="s">
        <v>344</v>
      </c>
      <c r="D206" s="4" t="s">
        <v>20</v>
      </c>
      <c r="E206" s="7">
        <v>144</v>
      </c>
      <c r="F206" s="5">
        <f>IFERROR(VLOOKUP(D206, Sheet2!$A:$C, 3, FALSE), 0)</f>
        <v>6999.9999999999991</v>
      </c>
      <c r="G206" s="6">
        <f t="shared" si="3"/>
        <v>1007999.9999999999</v>
      </c>
    </row>
    <row r="207" spans="1:7" ht="17.25" x14ac:dyDescent="0.3">
      <c r="A207" s="22" t="s">
        <v>104</v>
      </c>
      <c r="B207" s="22" t="s">
        <v>30</v>
      </c>
      <c r="C207" s="4" t="s">
        <v>339</v>
      </c>
      <c r="D207" s="4" t="s">
        <v>67</v>
      </c>
      <c r="E207" s="7">
        <v>824</v>
      </c>
      <c r="F207" s="5">
        <f>IFERROR(VLOOKUP(D207, Sheet2!$A:$C, 3, FALSE), 0)</f>
        <v>10818.181818181818</v>
      </c>
      <c r="G207" s="6">
        <f t="shared" si="3"/>
        <v>8914181.8181818184</v>
      </c>
    </row>
    <row r="208" spans="1:7" ht="17.25" x14ac:dyDescent="0.3">
      <c r="A208" s="22" t="s">
        <v>104</v>
      </c>
      <c r="B208" s="22" t="s">
        <v>23</v>
      </c>
      <c r="C208" s="4" t="s">
        <v>342</v>
      </c>
      <c r="D208" s="4" t="s">
        <v>61</v>
      </c>
      <c r="E208" s="7">
        <v>106</v>
      </c>
      <c r="F208" s="5">
        <f>IFERROR(VLOOKUP(D208, Sheet2!$A:$C, 3, FALSE), 0)</f>
        <v>7363.6363636363631</v>
      </c>
      <c r="G208" s="6">
        <f t="shared" si="3"/>
        <v>780545.45454545447</v>
      </c>
    </row>
    <row r="209" spans="1:7" ht="17.25" x14ac:dyDescent="0.3">
      <c r="A209" s="22" t="s">
        <v>104</v>
      </c>
      <c r="B209" s="22" t="s">
        <v>23</v>
      </c>
      <c r="C209" s="4" t="s">
        <v>342</v>
      </c>
      <c r="D209" s="4" t="s">
        <v>61</v>
      </c>
      <c r="E209" s="7">
        <v>85</v>
      </c>
      <c r="F209" s="5">
        <f>IFERROR(VLOOKUP(D209, Sheet2!$A:$C, 3, FALSE), 0)</f>
        <v>7363.6363636363631</v>
      </c>
      <c r="G209" s="6">
        <f t="shared" si="3"/>
        <v>625909.09090909082</v>
      </c>
    </row>
    <row r="210" spans="1:7" ht="17.25" x14ac:dyDescent="0.3">
      <c r="A210" s="23" t="s">
        <v>105</v>
      </c>
      <c r="B210" s="22" t="s">
        <v>63</v>
      </c>
      <c r="C210" s="4" t="s">
        <v>342</v>
      </c>
      <c r="D210" s="4" t="s">
        <v>35</v>
      </c>
      <c r="E210" s="7">
        <v>205</v>
      </c>
      <c r="F210" s="5">
        <f>IFERROR(VLOOKUP(D210, Sheet2!$A:$C, 3, FALSE), 0)</f>
        <v>8363.6363636363621</v>
      </c>
      <c r="G210" s="6">
        <f t="shared" si="3"/>
        <v>1714545.4545454544</v>
      </c>
    </row>
    <row r="211" spans="1:7" ht="17.25" x14ac:dyDescent="0.3">
      <c r="A211" s="23" t="s">
        <v>105</v>
      </c>
      <c r="B211" s="22" t="s">
        <v>16</v>
      </c>
      <c r="C211" s="4" t="s">
        <v>344</v>
      </c>
      <c r="D211" s="4" t="s">
        <v>39</v>
      </c>
      <c r="E211" s="7">
        <v>166</v>
      </c>
      <c r="F211" s="5">
        <f>IFERROR(VLOOKUP(D211, Sheet2!$A:$C, 3, FALSE), 0)</f>
        <v>3863.6363636363635</v>
      </c>
      <c r="G211" s="6">
        <f t="shared" si="3"/>
        <v>641363.63636363635</v>
      </c>
    </row>
    <row r="212" spans="1:7" ht="17.25" x14ac:dyDescent="0.3">
      <c r="A212" s="23" t="s">
        <v>105</v>
      </c>
      <c r="B212" s="22" t="s">
        <v>27</v>
      </c>
      <c r="C212" s="4" t="s">
        <v>337</v>
      </c>
      <c r="D212" s="4" t="s">
        <v>70</v>
      </c>
      <c r="E212" s="7">
        <v>714</v>
      </c>
      <c r="F212" s="5">
        <f>IFERROR(VLOOKUP(D212, Sheet2!$A:$C, 3, FALSE), 0)</f>
        <v>18636.363636363636</v>
      </c>
      <c r="G212" s="6">
        <f t="shared" si="3"/>
        <v>13306363.636363637</v>
      </c>
    </row>
    <row r="213" spans="1:7" ht="17.25" x14ac:dyDescent="0.3">
      <c r="A213" s="23" t="s">
        <v>105</v>
      </c>
      <c r="B213" s="22" t="s">
        <v>43</v>
      </c>
      <c r="C213" s="4" t="s">
        <v>342</v>
      </c>
      <c r="D213" s="4" t="s">
        <v>35</v>
      </c>
      <c r="E213" s="7">
        <v>76</v>
      </c>
      <c r="F213" s="5">
        <f>IFERROR(VLOOKUP(D213, Sheet2!$A:$C, 3, FALSE), 0)</f>
        <v>8363.6363636363621</v>
      </c>
      <c r="G213" s="6">
        <f t="shared" si="3"/>
        <v>635636.36363636353</v>
      </c>
    </row>
    <row r="214" spans="1:7" ht="17.25" x14ac:dyDescent="0.3">
      <c r="A214" s="23" t="s">
        <v>100</v>
      </c>
      <c r="B214" s="22" t="s">
        <v>29</v>
      </c>
      <c r="C214" s="4" t="s">
        <v>337</v>
      </c>
      <c r="D214" s="4" t="s">
        <v>70</v>
      </c>
      <c r="E214" s="7">
        <v>501</v>
      </c>
      <c r="F214" s="5">
        <f>IFERROR(VLOOKUP(D214, Sheet2!$A:$C, 3, FALSE), 0)</f>
        <v>18636.363636363636</v>
      </c>
      <c r="G214" s="6">
        <f t="shared" si="3"/>
        <v>9336818.1818181816</v>
      </c>
    </row>
    <row r="215" spans="1:7" ht="17.25" x14ac:dyDescent="0.3">
      <c r="A215" s="23" t="s">
        <v>105</v>
      </c>
      <c r="B215" s="22" t="s">
        <v>30</v>
      </c>
      <c r="C215" s="4" t="s">
        <v>344</v>
      </c>
      <c r="D215" s="4" t="s">
        <v>44</v>
      </c>
      <c r="E215" s="7">
        <v>249</v>
      </c>
      <c r="F215" s="5">
        <f>IFERROR(VLOOKUP(D215, Sheet2!$A:$C, 3, FALSE), 0)</f>
        <v>5909.090909090909</v>
      </c>
      <c r="G215" s="6">
        <f t="shared" si="3"/>
        <v>1471363.6363636362</v>
      </c>
    </row>
    <row r="216" spans="1:7" ht="17.25" x14ac:dyDescent="0.3">
      <c r="A216" s="23" t="s">
        <v>105</v>
      </c>
      <c r="B216" s="22" t="s">
        <v>46</v>
      </c>
      <c r="C216" s="4" t="s">
        <v>344</v>
      </c>
      <c r="D216" s="4" t="s">
        <v>56</v>
      </c>
      <c r="E216" s="7">
        <v>299</v>
      </c>
      <c r="F216" s="5">
        <f>IFERROR(VLOOKUP(D216, Sheet2!$A:$C, 3, FALSE), 0)</f>
        <v>5545.454545454545</v>
      </c>
      <c r="G216" s="6">
        <f t="shared" si="3"/>
        <v>1658090.9090909089</v>
      </c>
    </row>
    <row r="217" spans="1:7" ht="17.25" x14ac:dyDescent="0.3">
      <c r="A217" s="22" t="s">
        <v>105</v>
      </c>
      <c r="B217" s="22" t="s">
        <v>33</v>
      </c>
      <c r="C217" s="4" t="s">
        <v>344</v>
      </c>
      <c r="D217" s="4" t="s">
        <v>44</v>
      </c>
      <c r="E217" s="7">
        <v>176</v>
      </c>
      <c r="F217" s="5">
        <f>IFERROR(VLOOKUP(D217, Sheet2!$A:$C, 3, FALSE), 0)</f>
        <v>5909.090909090909</v>
      </c>
      <c r="G217" s="6">
        <f t="shared" si="3"/>
        <v>1040000</v>
      </c>
    </row>
    <row r="218" spans="1:7" ht="17.25" x14ac:dyDescent="0.3">
      <c r="A218" s="22" t="s">
        <v>105</v>
      </c>
      <c r="B218" s="22" t="s">
        <v>48</v>
      </c>
      <c r="C218" s="4" t="s">
        <v>337</v>
      </c>
      <c r="D218" s="4" t="s">
        <v>26</v>
      </c>
      <c r="E218" s="7">
        <v>403</v>
      </c>
      <c r="F218" s="5">
        <f>IFERROR(VLOOKUP(D218, Sheet2!$A:$C, 3, FALSE), 0)</f>
        <v>21000</v>
      </c>
      <c r="G218" s="6">
        <f t="shared" si="3"/>
        <v>8463000</v>
      </c>
    </row>
    <row r="219" spans="1:7" ht="17.25" x14ac:dyDescent="0.3">
      <c r="A219" s="22" t="s">
        <v>105</v>
      </c>
      <c r="B219" s="22" t="s">
        <v>48</v>
      </c>
      <c r="C219" s="4" t="s">
        <v>344</v>
      </c>
      <c r="D219" s="4" t="s">
        <v>59</v>
      </c>
      <c r="E219" s="7">
        <v>208</v>
      </c>
      <c r="F219" s="5">
        <f>IFERROR(VLOOKUP(D219, Sheet2!$A:$C, 3, FALSE), 0)</f>
        <v>4681.8181818181811</v>
      </c>
      <c r="G219" s="6">
        <f t="shared" si="3"/>
        <v>973818.18181818165</v>
      </c>
    </row>
    <row r="220" spans="1:7" ht="17.25" x14ac:dyDescent="0.3">
      <c r="A220" s="22" t="s">
        <v>105</v>
      </c>
      <c r="B220" s="22" t="s">
        <v>48</v>
      </c>
      <c r="C220" s="4" t="s">
        <v>337</v>
      </c>
      <c r="D220" s="4" t="s">
        <v>13</v>
      </c>
      <c r="E220" s="7">
        <v>1005</v>
      </c>
      <c r="F220" s="5">
        <f>IFERROR(VLOOKUP(D220, Sheet2!$A:$C, 3, FALSE), 0)</f>
        <v>18090.909090909088</v>
      </c>
      <c r="G220" s="6">
        <f t="shared" si="3"/>
        <v>18181363.636363633</v>
      </c>
    </row>
    <row r="221" spans="1:7" ht="17.25" x14ac:dyDescent="0.3">
      <c r="A221" s="22" t="s">
        <v>105</v>
      </c>
      <c r="B221" s="22" t="s">
        <v>24</v>
      </c>
      <c r="C221" s="4" t="s">
        <v>344</v>
      </c>
      <c r="D221" s="4" t="s">
        <v>20</v>
      </c>
      <c r="E221" s="7">
        <v>113</v>
      </c>
      <c r="F221" s="5">
        <f>IFERROR(VLOOKUP(D221, Sheet2!$A:$C, 3, FALSE), 0)</f>
        <v>6999.9999999999991</v>
      </c>
      <c r="G221" s="6">
        <f t="shared" si="3"/>
        <v>790999.99999999988</v>
      </c>
    </row>
    <row r="222" spans="1:7" ht="17.25" x14ac:dyDescent="0.3">
      <c r="A222" s="22" t="s">
        <v>105</v>
      </c>
      <c r="B222" s="22" t="s">
        <v>8</v>
      </c>
      <c r="C222" s="4" t="s">
        <v>338</v>
      </c>
      <c r="D222" s="4" t="s">
        <v>36</v>
      </c>
      <c r="E222" s="7">
        <v>148</v>
      </c>
      <c r="F222" s="5">
        <f>IFERROR(VLOOKUP(D222, Sheet2!$A:$C, 3, FALSE), 0)</f>
        <v>7899.9999999999991</v>
      </c>
      <c r="G222" s="6">
        <f t="shared" si="3"/>
        <v>1169199.9999999998</v>
      </c>
    </row>
    <row r="223" spans="1:7" ht="17.25" x14ac:dyDescent="0.3">
      <c r="A223" s="22" t="s">
        <v>105</v>
      </c>
      <c r="B223" s="22" t="s">
        <v>29</v>
      </c>
      <c r="C223" s="4" t="s">
        <v>344</v>
      </c>
      <c r="D223" s="4" t="s">
        <v>40</v>
      </c>
      <c r="E223" s="7">
        <v>393</v>
      </c>
      <c r="F223" s="5">
        <f>IFERROR(VLOOKUP(D223, Sheet2!$A:$C, 3, FALSE), 0)</f>
        <v>4363.6363636363631</v>
      </c>
      <c r="G223" s="6">
        <f t="shared" si="3"/>
        <v>1714909.0909090906</v>
      </c>
    </row>
    <row r="224" spans="1:7" ht="17.25" x14ac:dyDescent="0.3">
      <c r="A224" s="23" t="s">
        <v>105</v>
      </c>
      <c r="B224" s="22" t="s">
        <v>23</v>
      </c>
      <c r="C224" s="4" t="s">
        <v>344</v>
      </c>
      <c r="D224" s="4" t="s">
        <v>44</v>
      </c>
      <c r="E224" s="7">
        <v>208</v>
      </c>
      <c r="F224" s="5">
        <f>IFERROR(VLOOKUP(D224, Sheet2!$A:$C, 3, FALSE), 0)</f>
        <v>5909.090909090909</v>
      </c>
      <c r="G224" s="6">
        <f t="shared" si="3"/>
        <v>1229090.9090909092</v>
      </c>
    </row>
    <row r="225" spans="1:7" ht="17.25" x14ac:dyDescent="0.3">
      <c r="A225" s="23" t="s">
        <v>105</v>
      </c>
      <c r="B225" s="22" t="s">
        <v>23</v>
      </c>
      <c r="C225" s="4" t="s">
        <v>344</v>
      </c>
      <c r="D225" s="4" t="s">
        <v>44</v>
      </c>
      <c r="E225" s="7">
        <v>189</v>
      </c>
      <c r="F225" s="5">
        <f>IFERROR(VLOOKUP(D225, Sheet2!$A:$C, 3, FALSE), 0)</f>
        <v>5909.090909090909</v>
      </c>
      <c r="G225" s="6">
        <f t="shared" si="3"/>
        <v>1116818.1818181819</v>
      </c>
    </row>
    <row r="226" spans="1:7" ht="17.25" x14ac:dyDescent="0.3">
      <c r="A226" s="22" t="s">
        <v>105</v>
      </c>
      <c r="B226" s="22" t="s">
        <v>23</v>
      </c>
      <c r="C226" s="4" t="s">
        <v>342</v>
      </c>
      <c r="D226" s="4" t="s">
        <v>61</v>
      </c>
      <c r="E226" s="7">
        <v>52</v>
      </c>
      <c r="F226" s="5">
        <f>IFERROR(VLOOKUP(D226, Sheet2!$A:$C, 3, FALSE), 0)</f>
        <v>7363.6363636363631</v>
      </c>
      <c r="G226" s="6">
        <f t="shared" si="3"/>
        <v>382909.09090909088</v>
      </c>
    </row>
    <row r="227" spans="1:7" ht="17.25" x14ac:dyDescent="0.3">
      <c r="A227" s="22" t="s">
        <v>105</v>
      </c>
      <c r="B227" s="22" t="s">
        <v>27</v>
      </c>
      <c r="C227" s="4" t="s">
        <v>344</v>
      </c>
      <c r="D227" s="4" t="s">
        <v>40</v>
      </c>
      <c r="E227" s="7">
        <v>635</v>
      </c>
      <c r="F227" s="5">
        <f>IFERROR(VLOOKUP(D227, Sheet2!$A:$C, 3, FALSE), 0)</f>
        <v>4363.6363636363631</v>
      </c>
      <c r="G227" s="6">
        <f t="shared" si="3"/>
        <v>2770909.0909090904</v>
      </c>
    </row>
    <row r="228" spans="1:7" ht="17.25" x14ac:dyDescent="0.3">
      <c r="A228" s="22" t="s">
        <v>77</v>
      </c>
      <c r="B228" s="22" t="s">
        <v>21</v>
      </c>
      <c r="C228" s="4" t="s">
        <v>340</v>
      </c>
      <c r="D228" s="4" t="s">
        <v>49</v>
      </c>
      <c r="E228" s="7">
        <v>1170</v>
      </c>
      <c r="F228" s="5">
        <f>IFERROR(VLOOKUP(D228, Sheet2!$A:$C, 3, FALSE), 0)</f>
        <v>38000</v>
      </c>
      <c r="G228" s="6">
        <f t="shared" si="3"/>
        <v>44460000</v>
      </c>
    </row>
    <row r="229" spans="1:7" ht="17.25" x14ac:dyDescent="0.3">
      <c r="A229" s="22" t="s">
        <v>104</v>
      </c>
      <c r="B229" s="22" t="s">
        <v>75</v>
      </c>
      <c r="C229" s="4" t="s">
        <v>337</v>
      </c>
      <c r="D229" s="4" t="s">
        <v>13</v>
      </c>
      <c r="E229" s="7">
        <v>373</v>
      </c>
      <c r="F229" s="5">
        <f>IFERROR(VLOOKUP(D229, Sheet2!$A:$C, 3, FALSE), 0)</f>
        <v>18090.909090909088</v>
      </c>
      <c r="G229" s="6">
        <f t="shared" si="3"/>
        <v>6747909.0909090899</v>
      </c>
    </row>
    <row r="230" spans="1:7" ht="17.25" x14ac:dyDescent="0.3">
      <c r="A230" s="22" t="s">
        <v>105</v>
      </c>
      <c r="B230" s="22" t="s">
        <v>75</v>
      </c>
      <c r="C230" s="4" t="s">
        <v>338</v>
      </c>
      <c r="D230" s="4" t="s">
        <v>36</v>
      </c>
      <c r="E230" s="7">
        <v>431</v>
      </c>
      <c r="F230" s="5">
        <f>IFERROR(VLOOKUP(D230, Sheet2!$A:$C, 3, FALSE), 0)</f>
        <v>7899.9999999999991</v>
      </c>
      <c r="G230" s="6">
        <f t="shared" si="3"/>
        <v>3404899.9999999995</v>
      </c>
    </row>
    <row r="231" spans="1:7" ht="17.25" x14ac:dyDescent="0.3">
      <c r="A231" s="22" t="s">
        <v>105</v>
      </c>
      <c r="B231" s="22" t="s">
        <v>69</v>
      </c>
      <c r="C231" s="4" t="s">
        <v>344</v>
      </c>
      <c r="D231" s="4" t="s">
        <v>22</v>
      </c>
      <c r="E231" s="7">
        <v>164</v>
      </c>
      <c r="F231" s="5">
        <f>IFERROR(VLOOKUP(D231, Sheet2!$A:$C, 3, FALSE), 0)</f>
        <v>5999.9999999999991</v>
      </c>
      <c r="G231" s="6">
        <f t="shared" si="3"/>
        <v>983999.99999999988</v>
      </c>
    </row>
    <row r="232" spans="1:7" ht="17.25" x14ac:dyDescent="0.3">
      <c r="A232" s="22" t="s">
        <v>105</v>
      </c>
      <c r="B232" s="24" t="s">
        <v>66</v>
      </c>
      <c r="C232" s="4" t="s">
        <v>337</v>
      </c>
      <c r="D232" s="8" t="s">
        <v>78</v>
      </c>
      <c r="E232" s="7">
        <v>5</v>
      </c>
      <c r="F232" s="5">
        <f>IFERROR(VLOOKUP(D232, Sheet2!$A:$C, 3, FALSE), 0)</f>
        <v>14999.999999999998</v>
      </c>
      <c r="G232" s="6">
        <f t="shared" si="3"/>
        <v>74999.999999999985</v>
      </c>
    </row>
    <row r="233" spans="1:7" ht="17.25" x14ac:dyDescent="0.3">
      <c r="A233" s="23" t="s">
        <v>106</v>
      </c>
      <c r="B233" s="22" t="s">
        <v>31</v>
      </c>
      <c r="C233" s="4" t="s">
        <v>342</v>
      </c>
      <c r="D233" s="4" t="s">
        <v>35</v>
      </c>
      <c r="E233" s="7">
        <v>381</v>
      </c>
      <c r="F233" s="5">
        <f>IFERROR(VLOOKUP(D233, Sheet2!$A:$C, 3, FALSE), 0)</f>
        <v>8363.6363636363621</v>
      </c>
      <c r="G233" s="6">
        <f t="shared" si="3"/>
        <v>3186545.4545454541</v>
      </c>
    </row>
    <row r="234" spans="1:7" ht="17.25" x14ac:dyDescent="0.3">
      <c r="A234" s="23" t="s">
        <v>107</v>
      </c>
      <c r="B234" s="22" t="s">
        <v>48</v>
      </c>
      <c r="C234" s="4" t="s">
        <v>344</v>
      </c>
      <c r="D234" s="4" t="s">
        <v>59</v>
      </c>
      <c r="E234" s="7">
        <v>170</v>
      </c>
      <c r="F234" s="5">
        <f>IFERROR(VLOOKUP(D234, Sheet2!$A:$C, 3, FALSE), 0)</f>
        <v>4681.8181818181811</v>
      </c>
      <c r="G234" s="6">
        <f t="shared" si="3"/>
        <v>795909.09090909082</v>
      </c>
    </row>
    <row r="235" spans="1:7" ht="17.25" x14ac:dyDescent="0.3">
      <c r="A235" s="23" t="s">
        <v>107</v>
      </c>
      <c r="B235" s="22" t="s">
        <v>48</v>
      </c>
      <c r="C235" s="4" t="s">
        <v>337</v>
      </c>
      <c r="D235" s="4" t="s">
        <v>13</v>
      </c>
      <c r="E235" s="7">
        <v>851</v>
      </c>
      <c r="F235" s="5">
        <f>IFERROR(VLOOKUP(D235, Sheet2!$A:$C, 3, FALSE), 0)</f>
        <v>18090.909090909088</v>
      </c>
      <c r="G235" s="6">
        <f t="shared" si="3"/>
        <v>15395363.636363635</v>
      </c>
    </row>
    <row r="236" spans="1:7" ht="17.25" x14ac:dyDescent="0.3">
      <c r="A236" s="23" t="s">
        <v>107</v>
      </c>
      <c r="B236" s="22" t="s">
        <v>21</v>
      </c>
      <c r="C236" s="4" t="s">
        <v>339</v>
      </c>
      <c r="D236" s="4" t="s">
        <v>108</v>
      </c>
      <c r="E236" s="7">
        <v>886</v>
      </c>
      <c r="F236" s="5">
        <f>IFERROR(VLOOKUP(D236, Sheet2!$A:$C, 3, FALSE), 0)</f>
        <v>12272.727272727272</v>
      </c>
      <c r="G236" s="6">
        <f t="shared" si="3"/>
        <v>10873636.363636363</v>
      </c>
    </row>
    <row r="237" spans="1:7" ht="17.25" x14ac:dyDescent="0.3">
      <c r="A237" s="23" t="s">
        <v>107</v>
      </c>
      <c r="B237" s="22" t="s">
        <v>66</v>
      </c>
      <c r="C237" s="4" t="s">
        <v>338</v>
      </c>
      <c r="D237" s="4" t="s">
        <v>54</v>
      </c>
      <c r="E237" s="7">
        <v>838</v>
      </c>
      <c r="F237" s="5">
        <f>IFERROR(VLOOKUP(D237, Sheet2!$A:$C, 3, FALSE), 0)</f>
        <v>7899.9999999999991</v>
      </c>
      <c r="G237" s="6">
        <f t="shared" si="3"/>
        <v>6620199.9999999991</v>
      </c>
    </row>
    <row r="238" spans="1:7" ht="17.25" x14ac:dyDescent="0.3">
      <c r="A238" s="22" t="s">
        <v>107</v>
      </c>
      <c r="B238" s="22" t="s">
        <v>25</v>
      </c>
      <c r="C238" s="4" t="s">
        <v>337</v>
      </c>
      <c r="D238" s="4" t="s">
        <v>70</v>
      </c>
      <c r="E238" s="7">
        <v>811</v>
      </c>
      <c r="F238" s="5">
        <f>IFERROR(VLOOKUP(D238, Sheet2!$A:$C, 3, FALSE), 0)</f>
        <v>18636.363636363636</v>
      </c>
      <c r="G238" s="6">
        <f t="shared" si="3"/>
        <v>15114090.909090908</v>
      </c>
    </row>
    <row r="239" spans="1:7" ht="17.25" x14ac:dyDescent="0.3">
      <c r="A239" s="23" t="s">
        <v>107</v>
      </c>
      <c r="B239" s="22" t="s">
        <v>43</v>
      </c>
      <c r="C239" s="4" t="s">
        <v>344</v>
      </c>
      <c r="D239" s="4" t="s">
        <v>39</v>
      </c>
      <c r="E239" s="7">
        <v>228</v>
      </c>
      <c r="F239" s="5">
        <f>IFERROR(VLOOKUP(D239, Sheet2!$A:$C, 3, FALSE), 0)</f>
        <v>3863.6363636363635</v>
      </c>
      <c r="G239" s="6">
        <f t="shared" si="3"/>
        <v>880909.09090909082</v>
      </c>
    </row>
    <row r="240" spans="1:7" ht="17.25" x14ac:dyDescent="0.3">
      <c r="A240" s="23" t="s">
        <v>107</v>
      </c>
      <c r="B240" s="22" t="s">
        <v>23</v>
      </c>
      <c r="C240" s="4" t="s">
        <v>344</v>
      </c>
      <c r="D240" s="4" t="s">
        <v>44</v>
      </c>
      <c r="E240" s="7">
        <v>120</v>
      </c>
      <c r="F240" s="5">
        <f>IFERROR(VLOOKUP(D240, Sheet2!$A:$C, 3, FALSE), 0)</f>
        <v>5909.090909090909</v>
      </c>
      <c r="G240" s="6">
        <f t="shared" si="3"/>
        <v>709090.90909090906</v>
      </c>
    </row>
    <row r="241" spans="1:7" ht="17.25" x14ac:dyDescent="0.3">
      <c r="A241" s="23" t="s">
        <v>107</v>
      </c>
      <c r="B241" s="22" t="s">
        <v>16</v>
      </c>
      <c r="C241" s="4" t="s">
        <v>344</v>
      </c>
      <c r="D241" s="4" t="s">
        <v>44</v>
      </c>
      <c r="E241" s="7">
        <v>430</v>
      </c>
      <c r="F241" s="5">
        <f>IFERROR(VLOOKUP(D241, Sheet2!$A:$C, 3, FALSE), 0)</f>
        <v>5909.090909090909</v>
      </c>
      <c r="G241" s="6">
        <f t="shared" si="3"/>
        <v>2540909.0909090908</v>
      </c>
    </row>
    <row r="242" spans="1:7" ht="17.25" x14ac:dyDescent="0.3">
      <c r="A242" s="23" t="s">
        <v>107</v>
      </c>
      <c r="B242" s="22" t="s">
        <v>16</v>
      </c>
      <c r="C242" s="4" t="s">
        <v>343</v>
      </c>
      <c r="D242" s="4" t="s">
        <v>109</v>
      </c>
      <c r="E242" s="7">
        <v>850</v>
      </c>
      <c r="F242" s="5">
        <f>IFERROR(VLOOKUP(D242, Sheet2!$A:$C, 3, FALSE), 0)</f>
        <v>10454.545454545454</v>
      </c>
      <c r="G242" s="6">
        <f t="shared" si="3"/>
        <v>8886363.6363636367</v>
      </c>
    </row>
    <row r="243" spans="1:7" ht="17.25" x14ac:dyDescent="0.3">
      <c r="A243" s="22" t="s">
        <v>107</v>
      </c>
      <c r="B243" s="22" t="s">
        <v>43</v>
      </c>
      <c r="C243" s="4" t="s">
        <v>341</v>
      </c>
      <c r="D243" s="4" t="s">
        <v>110</v>
      </c>
      <c r="E243" s="7">
        <v>49</v>
      </c>
      <c r="F243" s="5">
        <f>IFERROR(VLOOKUP(D243, Sheet2!$A:$C, 3, FALSE), 0)</f>
        <v>2500</v>
      </c>
      <c r="G243" s="6">
        <f t="shared" si="3"/>
        <v>122500</v>
      </c>
    </row>
    <row r="244" spans="1:7" ht="17.25" x14ac:dyDescent="0.3">
      <c r="A244" s="23" t="s">
        <v>111</v>
      </c>
      <c r="B244" s="22" t="s">
        <v>21</v>
      </c>
      <c r="C244" s="4" t="s">
        <v>344</v>
      </c>
      <c r="D244" s="4" t="s">
        <v>22</v>
      </c>
      <c r="E244" s="7">
        <v>122</v>
      </c>
      <c r="F244" s="5">
        <f>IFERROR(VLOOKUP(D244, Sheet2!$A:$C, 3, FALSE), 0)</f>
        <v>5999.9999999999991</v>
      </c>
      <c r="G244" s="6">
        <f t="shared" si="3"/>
        <v>731999.99999999988</v>
      </c>
    </row>
    <row r="245" spans="1:7" ht="17.25" x14ac:dyDescent="0.3">
      <c r="A245" s="23" t="s">
        <v>111</v>
      </c>
      <c r="B245" s="22" t="s">
        <v>24</v>
      </c>
      <c r="C245" s="4" t="s">
        <v>344</v>
      </c>
      <c r="D245" s="4" t="s">
        <v>52</v>
      </c>
      <c r="E245" s="7">
        <v>208</v>
      </c>
      <c r="F245" s="5">
        <f>IFERROR(VLOOKUP(D245, Sheet2!$A:$C, 3, FALSE), 0)</f>
        <v>5999.9999999999991</v>
      </c>
      <c r="G245" s="6">
        <f t="shared" si="3"/>
        <v>1247999.9999999998</v>
      </c>
    </row>
    <row r="246" spans="1:7" ht="17.25" x14ac:dyDescent="0.3">
      <c r="A246" s="23" t="s">
        <v>112</v>
      </c>
      <c r="B246" s="22" t="s">
        <v>11</v>
      </c>
      <c r="C246" s="4" t="s">
        <v>337</v>
      </c>
      <c r="D246" s="4" t="s">
        <v>113</v>
      </c>
      <c r="E246" s="7">
        <v>57</v>
      </c>
      <c r="F246" s="5">
        <f>IFERROR(VLOOKUP(D246, Sheet2!$A:$C, 3, FALSE), 0)</f>
        <v>20727.272727272724</v>
      </c>
      <c r="G246" s="6">
        <f t="shared" si="3"/>
        <v>1181454.5454545452</v>
      </c>
    </row>
    <row r="247" spans="1:7" ht="17.25" x14ac:dyDescent="0.3">
      <c r="A247" s="22" t="s">
        <v>112</v>
      </c>
      <c r="B247" s="22" t="s">
        <v>14</v>
      </c>
      <c r="C247" s="4" t="s">
        <v>344</v>
      </c>
      <c r="D247" s="4" t="s">
        <v>15</v>
      </c>
      <c r="E247" s="7">
        <v>206</v>
      </c>
      <c r="F247" s="5">
        <f>IFERROR(VLOOKUP(D247, Sheet2!$A:$C, 3, FALSE), 0)</f>
        <v>3863.6363636363635</v>
      </c>
      <c r="G247" s="6">
        <f t="shared" si="3"/>
        <v>795909.09090909094</v>
      </c>
    </row>
    <row r="248" spans="1:7" ht="17.25" x14ac:dyDescent="0.3">
      <c r="A248" s="23" t="s">
        <v>112</v>
      </c>
      <c r="B248" s="22" t="s">
        <v>14</v>
      </c>
      <c r="C248" s="4" t="s">
        <v>343</v>
      </c>
      <c r="D248" s="4" t="s">
        <v>45</v>
      </c>
      <c r="E248" s="7">
        <v>959</v>
      </c>
      <c r="F248" s="5">
        <f>IFERROR(VLOOKUP(D248, Sheet2!$A:$C, 3, FALSE), 0)</f>
        <v>10909.090909090908</v>
      </c>
      <c r="G248" s="6">
        <f t="shared" si="3"/>
        <v>10461818.181818182</v>
      </c>
    </row>
    <row r="249" spans="1:7" ht="17.25" x14ac:dyDescent="0.3">
      <c r="A249" s="23" t="s">
        <v>112</v>
      </c>
      <c r="B249" s="22" t="s">
        <v>8</v>
      </c>
      <c r="C249" s="4" t="s">
        <v>342</v>
      </c>
      <c r="D249" s="4" t="s">
        <v>35</v>
      </c>
      <c r="E249" s="7">
        <v>103</v>
      </c>
      <c r="F249" s="5">
        <f>IFERROR(VLOOKUP(D249, Sheet2!$A:$C, 3, FALSE), 0)</f>
        <v>8363.6363636363621</v>
      </c>
      <c r="G249" s="6">
        <f t="shared" si="3"/>
        <v>861454.5454545453</v>
      </c>
    </row>
    <row r="250" spans="1:7" ht="17.25" x14ac:dyDescent="0.3">
      <c r="A250" s="23" t="s">
        <v>112</v>
      </c>
      <c r="B250" s="22" t="s">
        <v>33</v>
      </c>
      <c r="C250" s="4" t="s">
        <v>337</v>
      </c>
      <c r="D250" s="4" t="s">
        <v>12</v>
      </c>
      <c r="E250" s="7">
        <v>368</v>
      </c>
      <c r="F250" s="5">
        <f>IFERROR(VLOOKUP(D250, Sheet2!$A:$C, 3, FALSE), 0)</f>
        <v>26363.63636363636</v>
      </c>
      <c r="G250" s="6">
        <f t="shared" si="3"/>
        <v>9701818.1818181798</v>
      </c>
    </row>
    <row r="251" spans="1:7" ht="17.25" x14ac:dyDescent="0.3">
      <c r="A251" s="23" t="s">
        <v>112</v>
      </c>
      <c r="B251" s="22" t="s">
        <v>33</v>
      </c>
      <c r="C251" s="4" t="s">
        <v>344</v>
      </c>
      <c r="D251" s="4" t="s">
        <v>15</v>
      </c>
      <c r="E251" s="7">
        <v>280</v>
      </c>
      <c r="F251" s="5">
        <f>IFERROR(VLOOKUP(D251, Sheet2!$A:$C, 3, FALSE), 0)</f>
        <v>3863.6363636363635</v>
      </c>
      <c r="G251" s="6">
        <f t="shared" si="3"/>
        <v>1081818.1818181819</v>
      </c>
    </row>
    <row r="252" spans="1:7" ht="17.25" x14ac:dyDescent="0.3">
      <c r="A252" s="22" t="s">
        <v>112</v>
      </c>
      <c r="B252" s="22" t="s">
        <v>114</v>
      </c>
      <c r="C252" s="4" t="s">
        <v>344</v>
      </c>
      <c r="D252" s="4" t="s">
        <v>39</v>
      </c>
      <c r="E252" s="7">
        <v>500</v>
      </c>
      <c r="F252" s="5">
        <f>IFERROR(VLOOKUP(D252, Sheet2!$A:$C, 3, FALSE), 0)</f>
        <v>3863.6363636363635</v>
      </c>
      <c r="G252" s="6">
        <f t="shared" si="3"/>
        <v>1931818.1818181816</v>
      </c>
    </row>
    <row r="253" spans="1:7" ht="17.25" x14ac:dyDescent="0.3">
      <c r="A253" s="22" t="s">
        <v>112</v>
      </c>
      <c r="B253" s="22" t="s">
        <v>114</v>
      </c>
      <c r="C253" s="4" t="s">
        <v>344</v>
      </c>
      <c r="D253" s="4" t="s">
        <v>15</v>
      </c>
      <c r="E253" s="7">
        <v>500</v>
      </c>
      <c r="F253" s="5">
        <f>IFERROR(VLOOKUP(D253, Sheet2!$A:$C, 3, FALSE), 0)</f>
        <v>3863.6363636363635</v>
      </c>
      <c r="G253" s="6">
        <f t="shared" si="3"/>
        <v>1931818.1818181816</v>
      </c>
    </row>
    <row r="254" spans="1:7" ht="17.25" x14ac:dyDescent="0.3">
      <c r="A254" s="22" t="s">
        <v>112</v>
      </c>
      <c r="B254" s="22" t="s">
        <v>63</v>
      </c>
      <c r="C254" s="4" t="s">
        <v>342</v>
      </c>
      <c r="D254" s="4" t="s">
        <v>61</v>
      </c>
      <c r="E254" s="7">
        <v>57</v>
      </c>
      <c r="F254" s="5">
        <f>IFERROR(VLOOKUP(D254, Sheet2!$A:$C, 3, FALSE), 0)</f>
        <v>7363.6363636363631</v>
      </c>
      <c r="G254" s="6">
        <f t="shared" si="3"/>
        <v>419727.27272727271</v>
      </c>
    </row>
    <row r="255" spans="1:7" ht="17.25" x14ac:dyDescent="0.3">
      <c r="A255" s="22" t="s">
        <v>112</v>
      </c>
      <c r="B255" s="22" t="s">
        <v>69</v>
      </c>
      <c r="C255" s="4" t="s">
        <v>344</v>
      </c>
      <c r="D255" s="4" t="s">
        <v>22</v>
      </c>
      <c r="E255" s="7">
        <v>189</v>
      </c>
      <c r="F255" s="5">
        <f>IFERROR(VLOOKUP(D255, Sheet2!$A:$C, 3, FALSE), 0)</f>
        <v>5999.9999999999991</v>
      </c>
      <c r="G255" s="6">
        <f t="shared" si="3"/>
        <v>1133999.9999999998</v>
      </c>
    </row>
    <row r="256" spans="1:7" ht="17.25" x14ac:dyDescent="0.3">
      <c r="A256" s="23" t="s">
        <v>115</v>
      </c>
      <c r="B256" s="22" t="s">
        <v>60</v>
      </c>
      <c r="C256" s="4" t="s">
        <v>337</v>
      </c>
      <c r="D256" s="4" t="s">
        <v>26</v>
      </c>
      <c r="E256" s="7">
        <v>225</v>
      </c>
      <c r="F256" s="5">
        <f>IFERROR(VLOOKUP(D256, Sheet2!$A:$C, 3, FALSE), 0)</f>
        <v>21000</v>
      </c>
      <c r="G256" s="6">
        <f t="shared" si="3"/>
        <v>4725000</v>
      </c>
    </row>
    <row r="257" spans="1:7" ht="17.25" x14ac:dyDescent="0.3">
      <c r="A257" s="23" t="s">
        <v>115</v>
      </c>
      <c r="B257" s="22" t="s">
        <v>60</v>
      </c>
      <c r="C257" s="4" t="s">
        <v>342</v>
      </c>
      <c r="D257" s="4" t="s">
        <v>61</v>
      </c>
      <c r="E257" s="7">
        <v>177</v>
      </c>
      <c r="F257" s="5">
        <f>IFERROR(VLOOKUP(D257, Sheet2!$A:$C, 3, FALSE), 0)</f>
        <v>7363.6363636363631</v>
      </c>
      <c r="G257" s="6">
        <f t="shared" si="3"/>
        <v>1303363.6363636362</v>
      </c>
    </row>
    <row r="258" spans="1:7" ht="17.25" x14ac:dyDescent="0.3">
      <c r="A258" s="23" t="s">
        <v>115</v>
      </c>
      <c r="B258" s="22" t="s">
        <v>60</v>
      </c>
      <c r="C258" s="4" t="s">
        <v>337</v>
      </c>
      <c r="D258" s="4" t="s">
        <v>78</v>
      </c>
      <c r="E258" s="7">
        <v>615</v>
      </c>
      <c r="F258" s="5">
        <f>IFERROR(VLOOKUP(D258, Sheet2!$A:$C, 3, FALSE), 0)</f>
        <v>14999.999999999998</v>
      </c>
      <c r="G258" s="6">
        <f t="shared" si="3"/>
        <v>9224999.9999999981</v>
      </c>
    </row>
    <row r="259" spans="1:7" ht="17.25" x14ac:dyDescent="0.3">
      <c r="A259" s="23" t="s">
        <v>115</v>
      </c>
      <c r="B259" s="22" t="s">
        <v>60</v>
      </c>
      <c r="C259" s="4" t="s">
        <v>215</v>
      </c>
      <c r="D259" s="4" t="s">
        <v>116</v>
      </c>
      <c r="E259" s="7">
        <v>2968</v>
      </c>
      <c r="F259" s="5">
        <f>IFERROR(VLOOKUP(D259, Sheet2!$A:$C, 3, FALSE), 0)</f>
        <v>2045.4545454545453</v>
      </c>
      <c r="G259" s="6">
        <f t="shared" ref="G259:G322" si="4">E259*F259</f>
        <v>6070909.0909090899</v>
      </c>
    </row>
    <row r="260" spans="1:7" ht="17.25" x14ac:dyDescent="0.3">
      <c r="A260" s="23" t="s">
        <v>115</v>
      </c>
      <c r="B260" s="22" t="s">
        <v>21</v>
      </c>
      <c r="C260" s="4" t="s">
        <v>337</v>
      </c>
      <c r="D260" s="4" t="s">
        <v>9</v>
      </c>
      <c r="E260" s="10">
        <v>1165</v>
      </c>
      <c r="F260" s="5">
        <f>IFERROR(VLOOKUP(D260, Sheet2!$A:$C, 3, FALSE), 0)</f>
        <v>18636.363636363636</v>
      </c>
      <c r="G260" s="6">
        <f t="shared" si="4"/>
        <v>21711363.636363637</v>
      </c>
    </row>
    <row r="261" spans="1:7" ht="17.25" x14ac:dyDescent="0.3">
      <c r="A261" s="23" t="s">
        <v>115</v>
      </c>
      <c r="B261" s="22" t="s">
        <v>24</v>
      </c>
      <c r="C261" s="4" t="s">
        <v>344</v>
      </c>
      <c r="D261" s="4" t="s">
        <v>52</v>
      </c>
      <c r="E261" s="7">
        <v>80</v>
      </c>
      <c r="F261" s="5">
        <f>IFERROR(VLOOKUP(D261, Sheet2!$A:$C, 3, FALSE), 0)</f>
        <v>5999.9999999999991</v>
      </c>
      <c r="G261" s="6">
        <f t="shared" si="4"/>
        <v>479999.99999999994</v>
      </c>
    </row>
    <row r="262" spans="1:7" ht="17.25" x14ac:dyDescent="0.3">
      <c r="A262" s="23" t="s">
        <v>115</v>
      </c>
      <c r="B262" s="22" t="s">
        <v>30</v>
      </c>
      <c r="C262" s="4" t="s">
        <v>339</v>
      </c>
      <c r="D262" s="4" t="s">
        <v>108</v>
      </c>
      <c r="E262" s="7">
        <v>835</v>
      </c>
      <c r="F262" s="5">
        <f>IFERROR(VLOOKUP(D262, Sheet2!$A:$C, 3, FALSE), 0)</f>
        <v>12272.727272727272</v>
      </c>
      <c r="G262" s="6">
        <f t="shared" si="4"/>
        <v>10247727.272727272</v>
      </c>
    </row>
    <row r="263" spans="1:7" ht="17.25" x14ac:dyDescent="0.3">
      <c r="A263" s="23" t="s">
        <v>115</v>
      </c>
      <c r="B263" s="22" t="s">
        <v>30</v>
      </c>
      <c r="C263" s="4" t="s">
        <v>339</v>
      </c>
      <c r="D263" s="4" t="s">
        <v>117</v>
      </c>
      <c r="E263" s="7">
        <v>746</v>
      </c>
      <c r="F263" s="5">
        <f>IFERROR(VLOOKUP(D263, Sheet2!$A:$C, 3, FALSE), 0)</f>
        <v>11363.636363636362</v>
      </c>
      <c r="G263" s="6">
        <f t="shared" si="4"/>
        <v>8477272.7272727266</v>
      </c>
    </row>
    <row r="264" spans="1:7" ht="17.25" x14ac:dyDescent="0.3">
      <c r="A264" s="23" t="s">
        <v>115</v>
      </c>
      <c r="B264" s="22" t="s">
        <v>99</v>
      </c>
      <c r="C264" s="4" t="s">
        <v>342</v>
      </c>
      <c r="D264" s="4" t="s">
        <v>35</v>
      </c>
      <c r="E264" s="7">
        <v>262</v>
      </c>
      <c r="F264" s="5">
        <f>IFERROR(VLOOKUP(D264, Sheet2!$A:$C, 3, FALSE), 0)</f>
        <v>8363.6363636363621</v>
      </c>
      <c r="G264" s="6">
        <f t="shared" si="4"/>
        <v>2191272.7272727271</v>
      </c>
    </row>
    <row r="265" spans="1:7" ht="17.25" x14ac:dyDescent="0.3">
      <c r="A265" s="22" t="s">
        <v>115</v>
      </c>
      <c r="B265" s="22" t="s">
        <v>33</v>
      </c>
      <c r="C265" s="4" t="s">
        <v>340</v>
      </c>
      <c r="D265" s="4" t="s">
        <v>49</v>
      </c>
      <c r="E265" s="7">
        <v>226</v>
      </c>
      <c r="F265" s="5">
        <f>IFERROR(VLOOKUP(D265, Sheet2!$A:$C, 3, FALSE), 0)</f>
        <v>38000</v>
      </c>
      <c r="G265" s="6">
        <f t="shared" si="4"/>
        <v>8588000</v>
      </c>
    </row>
    <row r="266" spans="1:7" ht="17.25" x14ac:dyDescent="0.3">
      <c r="A266" s="23" t="s">
        <v>118</v>
      </c>
      <c r="B266" s="22" t="s">
        <v>27</v>
      </c>
      <c r="C266" s="4" t="s">
        <v>338</v>
      </c>
      <c r="D266" s="4" t="s">
        <v>36</v>
      </c>
      <c r="E266" s="7">
        <v>512</v>
      </c>
      <c r="F266" s="5">
        <f>IFERROR(VLOOKUP(D266, Sheet2!$A:$C, 3, FALSE), 0)</f>
        <v>7899.9999999999991</v>
      </c>
      <c r="G266" s="6">
        <f t="shared" si="4"/>
        <v>4044799.9999999995</v>
      </c>
    </row>
    <row r="267" spans="1:7" ht="17.25" x14ac:dyDescent="0.3">
      <c r="A267" s="23" t="s">
        <v>119</v>
      </c>
      <c r="B267" s="22" t="s">
        <v>11</v>
      </c>
      <c r="C267" s="4" t="s">
        <v>344</v>
      </c>
      <c r="D267" s="4" t="s">
        <v>120</v>
      </c>
      <c r="E267" s="7">
        <v>436</v>
      </c>
      <c r="F267" s="5">
        <f>IFERROR(VLOOKUP(D267, Sheet2!$A:$C, 3, FALSE), 0)</f>
        <v>6272.7272727272721</v>
      </c>
      <c r="G267" s="6">
        <f t="shared" si="4"/>
        <v>2734909.0909090908</v>
      </c>
    </row>
    <row r="268" spans="1:7" ht="17.25" x14ac:dyDescent="0.3">
      <c r="A268" s="23" t="s">
        <v>119</v>
      </c>
      <c r="B268" s="22" t="s">
        <v>11</v>
      </c>
      <c r="C268" s="4" t="s">
        <v>216</v>
      </c>
      <c r="D268" s="4" t="s">
        <v>84</v>
      </c>
      <c r="E268" s="7">
        <v>788</v>
      </c>
      <c r="F268" s="5">
        <f>IFERROR(VLOOKUP(D268, Sheet2!$A:$C, 3, FALSE), 0)</f>
        <v>2090.9090909090905</v>
      </c>
      <c r="G268" s="6">
        <f t="shared" si="4"/>
        <v>1647636.3636363633</v>
      </c>
    </row>
    <row r="269" spans="1:7" ht="17.25" x14ac:dyDescent="0.3">
      <c r="A269" s="23" t="s">
        <v>119</v>
      </c>
      <c r="B269" s="22" t="s">
        <v>48</v>
      </c>
      <c r="C269" s="4" t="s">
        <v>344</v>
      </c>
      <c r="D269" s="4" t="s">
        <v>52</v>
      </c>
      <c r="E269" s="7">
        <v>375</v>
      </c>
      <c r="F269" s="5">
        <f>IFERROR(VLOOKUP(D269, Sheet2!$A:$C, 3, FALSE), 0)</f>
        <v>5999.9999999999991</v>
      </c>
      <c r="G269" s="6">
        <f t="shared" si="4"/>
        <v>2249999.9999999995</v>
      </c>
    </row>
    <row r="270" spans="1:7" ht="17.25" x14ac:dyDescent="0.3">
      <c r="A270" s="23" t="s">
        <v>119</v>
      </c>
      <c r="B270" s="22" t="s">
        <v>19</v>
      </c>
      <c r="C270" s="4" t="s">
        <v>344</v>
      </c>
      <c r="D270" s="4" t="s">
        <v>53</v>
      </c>
      <c r="E270" s="7">
        <v>633</v>
      </c>
      <c r="F270" s="5">
        <f>IFERROR(VLOOKUP(D270, Sheet2!$A:$C, 3, FALSE), 0)</f>
        <v>5818.181818181818</v>
      </c>
      <c r="G270" s="6">
        <f t="shared" si="4"/>
        <v>3682909.0909090908</v>
      </c>
    </row>
    <row r="271" spans="1:7" ht="17.25" x14ac:dyDescent="0.3">
      <c r="A271" s="23" t="s">
        <v>119</v>
      </c>
      <c r="B271" s="22" t="s">
        <v>51</v>
      </c>
      <c r="C271" s="4" t="s">
        <v>343</v>
      </c>
      <c r="D271" s="4" t="s">
        <v>45</v>
      </c>
      <c r="E271" s="7">
        <v>707</v>
      </c>
      <c r="F271" s="5">
        <f>IFERROR(VLOOKUP(D271, Sheet2!$A:$C, 3, FALSE), 0)</f>
        <v>10909.090909090908</v>
      </c>
      <c r="G271" s="6">
        <f t="shared" si="4"/>
        <v>7712727.2727272725</v>
      </c>
    </row>
    <row r="272" spans="1:7" ht="17.25" x14ac:dyDescent="0.3">
      <c r="A272" s="23" t="s">
        <v>119</v>
      </c>
      <c r="B272" s="22" t="s">
        <v>14</v>
      </c>
      <c r="C272" s="4" t="s">
        <v>344</v>
      </c>
      <c r="D272" s="4" t="s">
        <v>32</v>
      </c>
      <c r="E272" s="7">
        <v>290</v>
      </c>
      <c r="F272" s="5">
        <f>IFERROR(VLOOKUP(D272, Sheet2!$A:$C, 3, FALSE), 0)</f>
        <v>4363.6363636363631</v>
      </c>
      <c r="G272" s="6">
        <f t="shared" si="4"/>
        <v>1265454.5454545452</v>
      </c>
    </row>
    <row r="273" spans="1:7" ht="17.25" x14ac:dyDescent="0.3">
      <c r="A273" s="23" t="s">
        <v>119</v>
      </c>
      <c r="B273" s="22" t="s">
        <v>25</v>
      </c>
      <c r="C273" s="4" t="s">
        <v>344</v>
      </c>
      <c r="D273" s="4" t="s">
        <v>22</v>
      </c>
      <c r="E273" s="7">
        <v>378</v>
      </c>
      <c r="F273" s="5">
        <f>IFERROR(VLOOKUP(D273, Sheet2!$A:$C, 3, FALSE), 0)</f>
        <v>5999.9999999999991</v>
      </c>
      <c r="G273" s="6">
        <f t="shared" si="4"/>
        <v>2267999.9999999995</v>
      </c>
    </row>
    <row r="274" spans="1:7" ht="17.25" x14ac:dyDescent="0.3">
      <c r="A274" s="23" t="s">
        <v>119</v>
      </c>
      <c r="B274" s="22" t="s">
        <v>43</v>
      </c>
      <c r="C274" s="4" t="s">
        <v>344</v>
      </c>
      <c r="D274" s="4" t="s">
        <v>39</v>
      </c>
      <c r="E274" s="7">
        <v>120</v>
      </c>
      <c r="F274" s="5">
        <f>IFERROR(VLOOKUP(D274, Sheet2!$A:$C, 3, FALSE), 0)</f>
        <v>3863.6363636363635</v>
      </c>
      <c r="G274" s="6">
        <f t="shared" si="4"/>
        <v>463636.36363636365</v>
      </c>
    </row>
    <row r="275" spans="1:7" ht="17.25" x14ac:dyDescent="0.3">
      <c r="A275" s="22" t="s">
        <v>119</v>
      </c>
      <c r="B275" s="22" t="s">
        <v>43</v>
      </c>
      <c r="C275" s="4" t="s">
        <v>341</v>
      </c>
      <c r="D275" s="4" t="s">
        <v>110</v>
      </c>
      <c r="E275" s="7">
        <v>76</v>
      </c>
      <c r="F275" s="5">
        <f>IFERROR(VLOOKUP(D275, Sheet2!$A:$C, 3, FALSE), 0)</f>
        <v>2500</v>
      </c>
      <c r="G275" s="6">
        <f t="shared" si="4"/>
        <v>190000</v>
      </c>
    </row>
    <row r="276" spans="1:7" ht="17.25" x14ac:dyDescent="0.3">
      <c r="A276" s="23" t="s">
        <v>119</v>
      </c>
      <c r="B276" s="22" t="s">
        <v>29</v>
      </c>
      <c r="C276" s="4" t="s">
        <v>338</v>
      </c>
      <c r="D276" s="4" t="s">
        <v>36</v>
      </c>
      <c r="E276" s="7">
        <v>394</v>
      </c>
      <c r="F276" s="5">
        <f>IFERROR(VLOOKUP(D276, Sheet2!$A:$C, 3, FALSE), 0)</f>
        <v>7899.9999999999991</v>
      </c>
      <c r="G276" s="6">
        <f t="shared" si="4"/>
        <v>3112599.9999999995</v>
      </c>
    </row>
    <row r="277" spans="1:7" ht="17.25" x14ac:dyDescent="0.3">
      <c r="A277" s="23" t="s">
        <v>119</v>
      </c>
      <c r="B277" s="22" t="s">
        <v>31</v>
      </c>
      <c r="C277" s="4" t="s">
        <v>339</v>
      </c>
      <c r="D277" s="4" t="s">
        <v>89</v>
      </c>
      <c r="E277" s="7">
        <v>1932</v>
      </c>
      <c r="F277" s="5">
        <f>IFERROR(VLOOKUP(D277, Sheet2!$A:$C, 3, FALSE), 0)</f>
        <v>5000</v>
      </c>
      <c r="G277" s="6">
        <f t="shared" si="4"/>
        <v>9660000</v>
      </c>
    </row>
    <row r="278" spans="1:7" ht="17.25" x14ac:dyDescent="0.3">
      <c r="A278" s="23" t="s">
        <v>119</v>
      </c>
      <c r="B278" s="22" t="s">
        <v>31</v>
      </c>
      <c r="C278" s="4" t="s">
        <v>339</v>
      </c>
      <c r="D278" s="4" t="s">
        <v>10</v>
      </c>
      <c r="E278" s="7">
        <v>995</v>
      </c>
      <c r="F278" s="5">
        <f>IFERROR(VLOOKUP(D278, Sheet2!$A:$C, 3, FALSE), 0)</f>
        <v>20818.181818181816</v>
      </c>
      <c r="G278" s="6">
        <f t="shared" si="4"/>
        <v>20714090.909090906</v>
      </c>
    </row>
    <row r="279" spans="1:7" ht="17.25" x14ac:dyDescent="0.3">
      <c r="A279" s="23" t="s">
        <v>119</v>
      </c>
      <c r="B279" s="22" t="s">
        <v>33</v>
      </c>
      <c r="C279" s="4" t="s">
        <v>344</v>
      </c>
      <c r="D279" s="4" t="s">
        <v>52</v>
      </c>
      <c r="E279" s="7">
        <v>286</v>
      </c>
      <c r="F279" s="5">
        <f>IFERROR(VLOOKUP(D279, Sheet2!$A:$C, 3, FALSE), 0)</f>
        <v>5999.9999999999991</v>
      </c>
      <c r="G279" s="6">
        <f t="shared" si="4"/>
        <v>1715999.9999999998</v>
      </c>
    </row>
    <row r="280" spans="1:7" ht="17.25" x14ac:dyDescent="0.3">
      <c r="A280" s="23" t="s">
        <v>119</v>
      </c>
      <c r="B280" s="22" t="s">
        <v>41</v>
      </c>
      <c r="C280" s="4" t="s">
        <v>216</v>
      </c>
      <c r="D280" s="4" t="s">
        <v>84</v>
      </c>
      <c r="E280" s="7">
        <v>207</v>
      </c>
      <c r="F280" s="5">
        <f>IFERROR(VLOOKUP(D280, Sheet2!$A:$C, 3, FALSE), 0)</f>
        <v>2090.9090909090905</v>
      </c>
      <c r="G280" s="6">
        <f t="shared" si="4"/>
        <v>432818.18181818177</v>
      </c>
    </row>
    <row r="281" spans="1:7" ht="17.25" x14ac:dyDescent="0.3">
      <c r="A281" s="23" t="s">
        <v>119</v>
      </c>
      <c r="B281" s="22" t="s">
        <v>16</v>
      </c>
      <c r="C281" s="4" t="s">
        <v>344</v>
      </c>
      <c r="D281" s="4" t="s">
        <v>44</v>
      </c>
      <c r="E281" s="7">
        <v>276</v>
      </c>
      <c r="F281" s="5">
        <f>IFERROR(VLOOKUP(D281, Sheet2!$A:$C, 3, FALSE), 0)</f>
        <v>5909.090909090909</v>
      </c>
      <c r="G281" s="6">
        <f t="shared" si="4"/>
        <v>1630909.0909090908</v>
      </c>
    </row>
    <row r="282" spans="1:7" ht="17.25" x14ac:dyDescent="0.3">
      <c r="A282" s="22" t="s">
        <v>119</v>
      </c>
      <c r="B282" s="22" t="s">
        <v>33</v>
      </c>
      <c r="C282" s="4" t="s">
        <v>337</v>
      </c>
      <c r="D282" s="4" t="s">
        <v>78</v>
      </c>
      <c r="E282" s="7">
        <v>784</v>
      </c>
      <c r="F282" s="5">
        <f>IFERROR(VLOOKUP(D282, Sheet2!$A:$C, 3, FALSE), 0)</f>
        <v>14999.999999999998</v>
      </c>
      <c r="G282" s="6">
        <f t="shared" si="4"/>
        <v>11759999.999999998</v>
      </c>
    </row>
    <row r="283" spans="1:7" ht="17.25" x14ac:dyDescent="0.3">
      <c r="A283" s="22" t="s">
        <v>119</v>
      </c>
      <c r="B283" s="22" t="s">
        <v>63</v>
      </c>
      <c r="C283" s="4" t="s">
        <v>344</v>
      </c>
      <c r="D283" s="4" t="s">
        <v>52</v>
      </c>
      <c r="E283" s="7">
        <v>346</v>
      </c>
      <c r="F283" s="5">
        <f>IFERROR(VLOOKUP(D283, Sheet2!$A:$C, 3, FALSE), 0)</f>
        <v>5999.9999999999991</v>
      </c>
      <c r="G283" s="6">
        <f t="shared" si="4"/>
        <v>2075999.9999999998</v>
      </c>
    </row>
    <row r="284" spans="1:7" ht="17.25" x14ac:dyDescent="0.3">
      <c r="A284" s="23" t="s">
        <v>121</v>
      </c>
      <c r="B284" s="22" t="s">
        <v>48</v>
      </c>
      <c r="C284" s="4" t="s">
        <v>344</v>
      </c>
      <c r="D284" s="4" t="s">
        <v>52</v>
      </c>
      <c r="E284" s="7">
        <v>314</v>
      </c>
      <c r="F284" s="5">
        <f>IFERROR(VLOOKUP(D284, Sheet2!$A:$C, 3, FALSE), 0)</f>
        <v>5999.9999999999991</v>
      </c>
      <c r="G284" s="6">
        <f t="shared" si="4"/>
        <v>1883999.9999999998</v>
      </c>
    </row>
    <row r="285" spans="1:7" ht="17.25" x14ac:dyDescent="0.3">
      <c r="A285" s="23" t="s">
        <v>121</v>
      </c>
      <c r="B285" s="22" t="s">
        <v>14</v>
      </c>
      <c r="C285" s="4" t="s">
        <v>337</v>
      </c>
      <c r="D285" s="4" t="s">
        <v>122</v>
      </c>
      <c r="E285" s="7">
        <v>805</v>
      </c>
      <c r="F285" s="5">
        <f>IFERROR(VLOOKUP(D285, Sheet2!$A:$C, 3, FALSE), 0)</f>
        <v>8181.8181818181811</v>
      </c>
      <c r="G285" s="6">
        <f t="shared" si="4"/>
        <v>6586363.6363636358</v>
      </c>
    </row>
    <row r="286" spans="1:7" ht="17.25" x14ac:dyDescent="0.3">
      <c r="A286" s="22" t="s">
        <v>121</v>
      </c>
      <c r="B286" s="22" t="s">
        <v>14</v>
      </c>
      <c r="C286" s="4" t="s">
        <v>344</v>
      </c>
      <c r="D286" s="4" t="s">
        <v>52</v>
      </c>
      <c r="E286" s="7">
        <v>406</v>
      </c>
      <c r="F286" s="5">
        <f>IFERROR(VLOOKUP(D286, Sheet2!$A:$C, 3, FALSE), 0)</f>
        <v>5999.9999999999991</v>
      </c>
      <c r="G286" s="6">
        <f t="shared" si="4"/>
        <v>2435999.9999999995</v>
      </c>
    </row>
    <row r="287" spans="1:7" ht="17.25" x14ac:dyDescent="0.3">
      <c r="A287" s="23" t="s">
        <v>121</v>
      </c>
      <c r="B287" s="22" t="s">
        <v>33</v>
      </c>
      <c r="C287" s="4" t="s">
        <v>337</v>
      </c>
      <c r="D287" s="4" t="s">
        <v>13</v>
      </c>
      <c r="E287" s="7">
        <v>917</v>
      </c>
      <c r="F287" s="5">
        <f>IFERROR(VLOOKUP(D287, Sheet2!$A:$C, 3, FALSE), 0)</f>
        <v>18090.909090909088</v>
      </c>
      <c r="G287" s="6">
        <f t="shared" si="4"/>
        <v>16589363.636363635</v>
      </c>
    </row>
    <row r="288" spans="1:7" ht="17.25" x14ac:dyDescent="0.3">
      <c r="A288" s="23" t="s">
        <v>121</v>
      </c>
      <c r="B288" s="22" t="s">
        <v>33</v>
      </c>
      <c r="C288" s="4" t="s">
        <v>344</v>
      </c>
      <c r="D288" s="4" t="s">
        <v>20</v>
      </c>
      <c r="E288" s="7">
        <v>81</v>
      </c>
      <c r="F288" s="5">
        <f>IFERROR(VLOOKUP(D288, Sheet2!$A:$C, 3, FALSE), 0)</f>
        <v>6999.9999999999991</v>
      </c>
      <c r="G288" s="6">
        <f t="shared" si="4"/>
        <v>566999.99999999988</v>
      </c>
    </row>
    <row r="289" spans="1:7" ht="17.25" x14ac:dyDescent="0.3">
      <c r="A289" s="23" t="s">
        <v>121</v>
      </c>
      <c r="B289" s="22" t="s">
        <v>33</v>
      </c>
      <c r="C289" s="4" t="s">
        <v>342</v>
      </c>
      <c r="D289" s="4" t="s">
        <v>35</v>
      </c>
      <c r="E289" s="7">
        <v>151</v>
      </c>
      <c r="F289" s="5">
        <f>IFERROR(VLOOKUP(D289, Sheet2!$A:$C, 3, FALSE), 0)</f>
        <v>8363.6363636363621</v>
      </c>
      <c r="G289" s="6">
        <f t="shared" si="4"/>
        <v>1262909.0909090906</v>
      </c>
    </row>
    <row r="290" spans="1:7" ht="17.25" x14ac:dyDescent="0.3">
      <c r="A290" s="22" t="s">
        <v>121</v>
      </c>
      <c r="B290" s="22" t="s">
        <v>43</v>
      </c>
      <c r="C290" s="4" t="s">
        <v>341</v>
      </c>
      <c r="D290" s="4" t="s">
        <v>110</v>
      </c>
      <c r="E290" s="7">
        <v>60</v>
      </c>
      <c r="F290" s="5">
        <f>IFERROR(VLOOKUP(D290, Sheet2!$A:$C, 3, FALSE), 0)</f>
        <v>2500</v>
      </c>
      <c r="G290" s="6">
        <f t="shared" si="4"/>
        <v>150000</v>
      </c>
    </row>
    <row r="291" spans="1:7" ht="17.25" x14ac:dyDescent="0.3">
      <c r="A291" s="22" t="s">
        <v>121</v>
      </c>
      <c r="B291" s="22" t="s">
        <v>21</v>
      </c>
      <c r="C291" s="4" t="s">
        <v>339</v>
      </c>
      <c r="D291" s="4" t="s">
        <v>76</v>
      </c>
      <c r="E291" s="7">
        <v>103</v>
      </c>
      <c r="F291" s="5">
        <f>IFERROR(VLOOKUP(D291, Sheet2!$A:$C, 3, FALSE), 0)</f>
        <v>8636.363636363636</v>
      </c>
      <c r="G291" s="6">
        <f t="shared" si="4"/>
        <v>889545.45454545447</v>
      </c>
    </row>
    <row r="292" spans="1:7" ht="17.25" x14ac:dyDescent="0.3">
      <c r="A292" s="23" t="s">
        <v>123</v>
      </c>
      <c r="B292" s="22" t="s">
        <v>24</v>
      </c>
      <c r="C292" s="4" t="s">
        <v>342</v>
      </c>
      <c r="D292" s="4" t="s">
        <v>61</v>
      </c>
      <c r="E292" s="7">
        <v>58</v>
      </c>
      <c r="F292" s="5">
        <f>IFERROR(VLOOKUP(D292, Sheet2!$A:$C, 3, FALSE), 0)</f>
        <v>7363.6363636363631</v>
      </c>
      <c r="G292" s="6">
        <f t="shared" si="4"/>
        <v>427090.90909090906</v>
      </c>
    </row>
    <row r="293" spans="1:7" ht="17.25" x14ac:dyDescent="0.3">
      <c r="A293" s="23" t="s">
        <v>123</v>
      </c>
      <c r="B293" s="22" t="s">
        <v>31</v>
      </c>
      <c r="C293" s="4" t="s">
        <v>343</v>
      </c>
      <c r="D293" s="4" t="s">
        <v>45</v>
      </c>
      <c r="E293" s="7">
        <v>879</v>
      </c>
      <c r="F293" s="5">
        <f>IFERROR(VLOOKUP(D293, Sheet2!$A:$C, 3, FALSE), 0)</f>
        <v>10909.090909090908</v>
      </c>
      <c r="G293" s="6">
        <f t="shared" si="4"/>
        <v>9589090.9090909082</v>
      </c>
    </row>
    <row r="294" spans="1:7" ht="17.25" x14ac:dyDescent="0.3">
      <c r="A294" s="23" t="s">
        <v>124</v>
      </c>
      <c r="B294" s="22" t="s">
        <v>21</v>
      </c>
      <c r="C294" s="4" t="s">
        <v>344</v>
      </c>
      <c r="D294" s="4" t="s">
        <v>22</v>
      </c>
      <c r="E294" s="7">
        <v>200</v>
      </c>
      <c r="F294" s="5">
        <f>IFERROR(VLOOKUP(D294, Sheet2!$A:$C, 3, FALSE), 0)</f>
        <v>5999.9999999999991</v>
      </c>
      <c r="G294" s="6">
        <f t="shared" si="4"/>
        <v>1199999.9999999998</v>
      </c>
    </row>
    <row r="295" spans="1:7" ht="17.25" x14ac:dyDescent="0.3">
      <c r="A295" s="23" t="s">
        <v>124</v>
      </c>
      <c r="B295" s="22" t="s">
        <v>21</v>
      </c>
      <c r="C295" s="4" t="s">
        <v>344</v>
      </c>
      <c r="D295" s="4" t="s">
        <v>52</v>
      </c>
      <c r="E295" s="7">
        <v>103</v>
      </c>
      <c r="F295" s="5">
        <f>IFERROR(VLOOKUP(D295, Sheet2!$A:$C, 3, FALSE), 0)</f>
        <v>5999.9999999999991</v>
      </c>
      <c r="G295" s="6">
        <f t="shared" si="4"/>
        <v>617999.99999999988</v>
      </c>
    </row>
    <row r="296" spans="1:7" ht="17.25" x14ac:dyDescent="0.3">
      <c r="A296" s="23" t="s">
        <v>124</v>
      </c>
      <c r="B296" s="22" t="s">
        <v>25</v>
      </c>
      <c r="C296" s="4" t="s">
        <v>344</v>
      </c>
      <c r="D296" s="4" t="s">
        <v>15</v>
      </c>
      <c r="E296" s="7">
        <v>343</v>
      </c>
      <c r="F296" s="5">
        <f>IFERROR(VLOOKUP(D296, Sheet2!$A:$C, 3, FALSE), 0)</f>
        <v>3863.6363636363635</v>
      </c>
      <c r="G296" s="6">
        <f t="shared" si="4"/>
        <v>1325227.2727272727</v>
      </c>
    </row>
    <row r="297" spans="1:7" ht="17.25" x14ac:dyDescent="0.3">
      <c r="A297" s="22" t="s">
        <v>124</v>
      </c>
      <c r="B297" s="22" t="s">
        <v>25</v>
      </c>
      <c r="C297" s="4" t="s">
        <v>344</v>
      </c>
      <c r="D297" s="4" t="s">
        <v>53</v>
      </c>
      <c r="E297" s="7">
        <v>15</v>
      </c>
      <c r="F297" s="5">
        <f>IFERROR(VLOOKUP(D297, Sheet2!$A:$C, 3, FALSE), 0)</f>
        <v>5818.181818181818</v>
      </c>
      <c r="G297" s="6">
        <f t="shared" si="4"/>
        <v>87272.727272727265</v>
      </c>
    </row>
    <row r="298" spans="1:7" ht="17.25" x14ac:dyDescent="0.3">
      <c r="A298" s="22" t="s">
        <v>124</v>
      </c>
      <c r="B298" s="22" t="s">
        <v>43</v>
      </c>
      <c r="C298" s="4" t="s">
        <v>344</v>
      </c>
      <c r="D298" s="4" t="s">
        <v>39</v>
      </c>
      <c r="E298" s="7">
        <v>176</v>
      </c>
      <c r="F298" s="5">
        <f>IFERROR(VLOOKUP(D298, Sheet2!$A:$C, 3, FALSE), 0)</f>
        <v>3863.6363636363635</v>
      </c>
      <c r="G298" s="6">
        <f t="shared" si="4"/>
        <v>680000</v>
      </c>
    </row>
    <row r="299" spans="1:7" ht="17.25" x14ac:dyDescent="0.3">
      <c r="A299" s="23" t="s">
        <v>124</v>
      </c>
      <c r="B299" s="22" t="s">
        <v>8</v>
      </c>
      <c r="C299" s="4" t="s">
        <v>342</v>
      </c>
      <c r="D299" s="4" t="s">
        <v>35</v>
      </c>
      <c r="E299" s="7">
        <v>120</v>
      </c>
      <c r="F299" s="5">
        <f>IFERROR(VLOOKUP(D299, Sheet2!$A:$C, 3, FALSE), 0)</f>
        <v>8363.6363636363621</v>
      </c>
      <c r="G299" s="6">
        <f t="shared" si="4"/>
        <v>1003636.3636363634</v>
      </c>
    </row>
    <row r="300" spans="1:7" ht="17.25" x14ac:dyDescent="0.3">
      <c r="A300" s="23" t="s">
        <v>124</v>
      </c>
      <c r="B300" s="22" t="s">
        <v>33</v>
      </c>
      <c r="C300" s="4" t="s">
        <v>339</v>
      </c>
      <c r="D300" s="4" t="s">
        <v>125</v>
      </c>
      <c r="E300" s="7">
        <v>766</v>
      </c>
      <c r="F300" s="5">
        <f>IFERROR(VLOOKUP(D300, Sheet2!$A:$C, 3, FALSE), 0)</f>
        <v>18090.909090909088</v>
      </c>
      <c r="G300" s="6">
        <f t="shared" si="4"/>
        <v>13857636.363636361</v>
      </c>
    </row>
    <row r="301" spans="1:7" ht="17.25" x14ac:dyDescent="0.3">
      <c r="A301" s="23" t="s">
        <v>126</v>
      </c>
      <c r="B301" s="22" t="s">
        <v>60</v>
      </c>
      <c r="C301" s="4" t="s">
        <v>337</v>
      </c>
      <c r="D301" s="4" t="s">
        <v>127</v>
      </c>
      <c r="E301" s="7">
        <v>210</v>
      </c>
      <c r="F301" s="5">
        <f>IFERROR(VLOOKUP(D301, Sheet2!$A:$C, 3, FALSE), 0)</f>
        <v>45000</v>
      </c>
      <c r="G301" s="6">
        <f t="shared" si="4"/>
        <v>9450000</v>
      </c>
    </row>
    <row r="302" spans="1:7" ht="17.25" x14ac:dyDescent="0.3">
      <c r="A302" s="23" t="s">
        <v>126</v>
      </c>
      <c r="B302" s="22" t="s">
        <v>60</v>
      </c>
      <c r="C302" s="4" t="s">
        <v>337</v>
      </c>
      <c r="D302" s="4" t="s">
        <v>26</v>
      </c>
      <c r="E302" s="7">
        <v>157</v>
      </c>
      <c r="F302" s="5">
        <f>IFERROR(VLOOKUP(D302, Sheet2!$A:$C, 3, FALSE), 0)</f>
        <v>21000</v>
      </c>
      <c r="G302" s="6">
        <f t="shared" si="4"/>
        <v>3297000</v>
      </c>
    </row>
    <row r="303" spans="1:7" ht="17.25" x14ac:dyDescent="0.3">
      <c r="A303" s="23" t="s">
        <v>126</v>
      </c>
      <c r="B303" s="22" t="s">
        <v>60</v>
      </c>
      <c r="C303" s="4" t="s">
        <v>337</v>
      </c>
      <c r="D303" s="4" t="s">
        <v>128</v>
      </c>
      <c r="E303" s="7">
        <v>273</v>
      </c>
      <c r="F303" s="5">
        <f>IFERROR(VLOOKUP(D303, Sheet2!$A:$C, 3, FALSE), 0)</f>
        <v>20727.272727272724</v>
      </c>
      <c r="G303" s="6">
        <f t="shared" si="4"/>
        <v>5658545.4545454541</v>
      </c>
    </row>
    <row r="304" spans="1:7" ht="17.25" x14ac:dyDescent="0.3">
      <c r="A304" s="23" t="s">
        <v>126</v>
      </c>
      <c r="B304" s="22" t="s">
        <v>24</v>
      </c>
      <c r="C304" s="4" t="s">
        <v>342</v>
      </c>
      <c r="D304" s="4" t="s">
        <v>61</v>
      </c>
      <c r="E304" s="7">
        <v>48</v>
      </c>
      <c r="F304" s="5">
        <f>IFERROR(VLOOKUP(D304, Sheet2!$A:$C, 3, FALSE), 0)</f>
        <v>7363.6363636363631</v>
      </c>
      <c r="G304" s="6">
        <f t="shared" si="4"/>
        <v>353454.54545454541</v>
      </c>
    </row>
    <row r="305" spans="1:7" ht="17.25" x14ac:dyDescent="0.3">
      <c r="A305" s="23" t="s">
        <v>126</v>
      </c>
      <c r="B305" s="22" t="s">
        <v>23</v>
      </c>
      <c r="C305" s="4" t="s">
        <v>342</v>
      </c>
      <c r="D305" s="4" t="s">
        <v>61</v>
      </c>
      <c r="E305" s="7">
        <v>45</v>
      </c>
      <c r="F305" s="5">
        <f>IFERROR(VLOOKUP(D305, Sheet2!$A:$C, 3, FALSE), 0)</f>
        <v>7363.6363636363631</v>
      </c>
      <c r="G305" s="6">
        <f t="shared" si="4"/>
        <v>331363.63636363635</v>
      </c>
    </row>
    <row r="306" spans="1:7" ht="17.25" x14ac:dyDescent="0.3">
      <c r="A306" s="23" t="s">
        <v>126</v>
      </c>
      <c r="B306" s="22" t="s">
        <v>23</v>
      </c>
      <c r="C306" s="4" t="s">
        <v>342</v>
      </c>
      <c r="D306" s="4" t="s">
        <v>61</v>
      </c>
      <c r="E306" s="7">
        <v>35</v>
      </c>
      <c r="F306" s="5">
        <f>IFERROR(VLOOKUP(D306, Sheet2!$A:$C, 3, FALSE), 0)</f>
        <v>7363.6363636363631</v>
      </c>
      <c r="G306" s="6">
        <f t="shared" si="4"/>
        <v>257727.27272727271</v>
      </c>
    </row>
    <row r="307" spans="1:7" ht="17.25" x14ac:dyDescent="0.3">
      <c r="A307" s="22" t="s">
        <v>126</v>
      </c>
      <c r="B307" s="22" t="s">
        <v>5</v>
      </c>
      <c r="C307" s="4" t="s">
        <v>337</v>
      </c>
      <c r="D307" s="4" t="s">
        <v>6</v>
      </c>
      <c r="E307" s="7">
        <v>1090</v>
      </c>
      <c r="F307" s="5">
        <f>IFERROR(VLOOKUP(D307, Sheet2!$A:$C, 3, FALSE), 0)</f>
        <v>14999.999999999998</v>
      </c>
      <c r="G307" s="6">
        <f t="shared" si="4"/>
        <v>16349999.999999998</v>
      </c>
    </row>
    <row r="308" spans="1:7" ht="17.25" x14ac:dyDescent="0.3">
      <c r="A308" s="23" t="s">
        <v>126</v>
      </c>
      <c r="B308" s="22" t="s">
        <v>27</v>
      </c>
      <c r="C308" s="4" t="s">
        <v>344</v>
      </c>
      <c r="D308" s="4" t="s">
        <v>20</v>
      </c>
      <c r="E308" s="7">
        <v>222</v>
      </c>
      <c r="F308" s="5">
        <f>IFERROR(VLOOKUP(D308, Sheet2!$A:$C, 3, FALSE), 0)</f>
        <v>6999.9999999999991</v>
      </c>
      <c r="G308" s="6">
        <f t="shared" si="4"/>
        <v>1553999.9999999998</v>
      </c>
    </row>
    <row r="309" spans="1:7" ht="17.25" x14ac:dyDescent="0.3">
      <c r="A309" s="23" t="s">
        <v>126</v>
      </c>
      <c r="B309" s="22" t="s">
        <v>31</v>
      </c>
      <c r="C309" s="4" t="s">
        <v>337</v>
      </c>
      <c r="D309" s="4" t="s">
        <v>129</v>
      </c>
      <c r="E309" s="7">
        <v>779</v>
      </c>
      <c r="F309" s="5">
        <f>IFERROR(VLOOKUP(D309, Sheet2!$A:$C, 3, FALSE), 0)</f>
        <v>7199.9999999999991</v>
      </c>
      <c r="G309" s="6">
        <f t="shared" si="4"/>
        <v>5608799.9999999991</v>
      </c>
    </row>
    <row r="310" spans="1:7" ht="17.25" x14ac:dyDescent="0.3">
      <c r="A310" s="23" t="s">
        <v>126</v>
      </c>
      <c r="B310" s="22" t="s">
        <v>31</v>
      </c>
      <c r="C310" s="4" t="s">
        <v>344</v>
      </c>
      <c r="D310" s="4" t="s">
        <v>32</v>
      </c>
      <c r="E310" s="7">
        <v>385</v>
      </c>
      <c r="F310" s="5">
        <f>IFERROR(VLOOKUP(D310, Sheet2!$A:$C, 3, FALSE), 0)</f>
        <v>4363.6363636363631</v>
      </c>
      <c r="G310" s="6">
        <f t="shared" si="4"/>
        <v>1679999.9999999998</v>
      </c>
    </row>
    <row r="311" spans="1:7" ht="17.25" x14ac:dyDescent="0.3">
      <c r="A311" s="23" t="s">
        <v>126</v>
      </c>
      <c r="B311" s="22" t="s">
        <v>29</v>
      </c>
      <c r="C311" s="4" t="s">
        <v>344</v>
      </c>
      <c r="D311" s="4" t="s">
        <v>20</v>
      </c>
      <c r="E311" s="7">
        <v>188</v>
      </c>
      <c r="F311" s="5">
        <f>IFERROR(VLOOKUP(D311, Sheet2!$A:$C, 3, FALSE), 0)</f>
        <v>6999.9999999999991</v>
      </c>
      <c r="G311" s="6">
        <f t="shared" si="4"/>
        <v>1315999.9999999998</v>
      </c>
    </row>
    <row r="312" spans="1:7" ht="17.25" x14ac:dyDescent="0.3">
      <c r="A312" s="23" t="s">
        <v>130</v>
      </c>
      <c r="B312" s="22" t="s">
        <v>11</v>
      </c>
      <c r="C312" s="4" t="s">
        <v>344</v>
      </c>
      <c r="D312" s="4" t="s">
        <v>38</v>
      </c>
      <c r="E312" s="7">
        <v>289</v>
      </c>
      <c r="F312" s="5">
        <f>IFERROR(VLOOKUP(D312, Sheet2!$A:$C, 3, FALSE), 0)</f>
        <v>5909.090909090909</v>
      </c>
      <c r="G312" s="6">
        <f t="shared" si="4"/>
        <v>1707727.2727272727</v>
      </c>
    </row>
    <row r="313" spans="1:7" ht="17.25" x14ac:dyDescent="0.3">
      <c r="A313" s="22" t="s">
        <v>130</v>
      </c>
      <c r="B313" s="22" t="s">
        <v>19</v>
      </c>
      <c r="C313" s="4" t="s">
        <v>344</v>
      </c>
      <c r="D313" s="4" t="s">
        <v>20</v>
      </c>
      <c r="E313" s="7">
        <v>224</v>
      </c>
      <c r="F313" s="5">
        <f>IFERROR(VLOOKUP(D313, Sheet2!$A:$C, 3, FALSE), 0)</f>
        <v>6999.9999999999991</v>
      </c>
      <c r="G313" s="6">
        <f t="shared" si="4"/>
        <v>1567999.9999999998</v>
      </c>
    </row>
    <row r="314" spans="1:7" ht="17.25" x14ac:dyDescent="0.3">
      <c r="A314" s="23" t="s">
        <v>130</v>
      </c>
      <c r="B314" s="22" t="s">
        <v>24</v>
      </c>
      <c r="C314" s="4" t="s">
        <v>344</v>
      </c>
      <c r="D314" s="4" t="s">
        <v>22</v>
      </c>
      <c r="E314" s="7">
        <v>126</v>
      </c>
      <c r="F314" s="5">
        <f>IFERROR(VLOOKUP(D314, Sheet2!$A:$C, 3, FALSE), 0)</f>
        <v>5999.9999999999991</v>
      </c>
      <c r="G314" s="6">
        <f t="shared" si="4"/>
        <v>755999.99999999988</v>
      </c>
    </row>
    <row r="315" spans="1:7" ht="17.25" x14ac:dyDescent="0.3">
      <c r="A315" s="23" t="s">
        <v>130</v>
      </c>
      <c r="B315" s="22" t="s">
        <v>24</v>
      </c>
      <c r="C315" s="4" t="s">
        <v>342</v>
      </c>
      <c r="D315" s="4" t="s">
        <v>61</v>
      </c>
      <c r="E315" s="7">
        <v>67</v>
      </c>
      <c r="F315" s="5">
        <f>IFERROR(VLOOKUP(D315, Sheet2!$A:$C, 3, FALSE), 0)</f>
        <v>7363.6363636363631</v>
      </c>
      <c r="G315" s="6">
        <f t="shared" si="4"/>
        <v>493363.63636363635</v>
      </c>
    </row>
    <row r="316" spans="1:7" ht="17.25" x14ac:dyDescent="0.3">
      <c r="A316" s="22" t="s">
        <v>130</v>
      </c>
      <c r="B316" s="22" t="s">
        <v>43</v>
      </c>
      <c r="C316" s="4" t="s">
        <v>338</v>
      </c>
      <c r="D316" s="4" t="s">
        <v>54</v>
      </c>
      <c r="E316" s="7">
        <v>477</v>
      </c>
      <c r="F316" s="5">
        <f>IFERROR(VLOOKUP(D316, Sheet2!$A:$C, 3, FALSE), 0)</f>
        <v>7899.9999999999991</v>
      </c>
      <c r="G316" s="6">
        <f t="shared" si="4"/>
        <v>3768299.9999999995</v>
      </c>
    </row>
    <row r="317" spans="1:7" ht="17.25" x14ac:dyDescent="0.3">
      <c r="A317" s="23" t="s">
        <v>130</v>
      </c>
      <c r="B317" s="22" t="s">
        <v>43</v>
      </c>
      <c r="C317" s="4" t="s">
        <v>344</v>
      </c>
      <c r="D317" s="4" t="s">
        <v>39</v>
      </c>
      <c r="E317" s="7">
        <v>166</v>
      </c>
      <c r="F317" s="5">
        <f>IFERROR(VLOOKUP(D317, Sheet2!$A:$C, 3, FALSE), 0)</f>
        <v>3863.6363636363635</v>
      </c>
      <c r="G317" s="6">
        <f t="shared" si="4"/>
        <v>641363.63636363635</v>
      </c>
    </row>
    <row r="318" spans="1:7" ht="17.25" x14ac:dyDescent="0.3">
      <c r="A318" s="23" t="s">
        <v>130</v>
      </c>
      <c r="B318" s="22" t="s">
        <v>29</v>
      </c>
      <c r="C318" s="4" t="s">
        <v>339</v>
      </c>
      <c r="D318" s="4" t="s">
        <v>80</v>
      </c>
      <c r="E318" s="7">
        <v>443</v>
      </c>
      <c r="F318" s="5">
        <f>IFERROR(VLOOKUP(D318, Sheet2!$A:$C, 3, FALSE), 0)</f>
        <v>18272.727272727272</v>
      </c>
      <c r="G318" s="6">
        <f t="shared" si="4"/>
        <v>8094818.1818181816</v>
      </c>
    </row>
    <row r="319" spans="1:7" ht="17.25" x14ac:dyDescent="0.3">
      <c r="A319" s="23" t="s">
        <v>130</v>
      </c>
      <c r="B319" s="22" t="s">
        <v>23</v>
      </c>
      <c r="C319" s="4" t="s">
        <v>344</v>
      </c>
      <c r="D319" s="4" t="s">
        <v>44</v>
      </c>
      <c r="E319" s="7">
        <v>242</v>
      </c>
      <c r="F319" s="5">
        <f>IFERROR(VLOOKUP(D319, Sheet2!$A:$C, 3, FALSE), 0)</f>
        <v>5909.090909090909</v>
      </c>
      <c r="G319" s="6">
        <f t="shared" si="4"/>
        <v>1430000</v>
      </c>
    </row>
    <row r="320" spans="1:7" ht="17.25" x14ac:dyDescent="0.3">
      <c r="A320" s="23" t="s">
        <v>130</v>
      </c>
      <c r="B320" s="22" t="s">
        <v>23</v>
      </c>
      <c r="C320" s="4" t="s">
        <v>344</v>
      </c>
      <c r="D320" s="4" t="s">
        <v>44</v>
      </c>
      <c r="E320" s="7">
        <v>208</v>
      </c>
      <c r="F320" s="5">
        <f>IFERROR(VLOOKUP(D320, Sheet2!$A:$C, 3, FALSE), 0)</f>
        <v>5909.090909090909</v>
      </c>
      <c r="G320" s="6">
        <f t="shared" si="4"/>
        <v>1229090.9090909092</v>
      </c>
    </row>
    <row r="321" spans="1:7" ht="17.25" x14ac:dyDescent="0.3">
      <c r="A321" s="23" t="s">
        <v>130</v>
      </c>
      <c r="B321" s="22" t="s">
        <v>23</v>
      </c>
      <c r="C321" s="4" t="s">
        <v>342</v>
      </c>
      <c r="D321" s="4" t="s">
        <v>61</v>
      </c>
      <c r="E321" s="7">
        <v>15</v>
      </c>
      <c r="F321" s="5">
        <f>IFERROR(VLOOKUP(D321, Sheet2!$A:$C, 3, FALSE), 0)</f>
        <v>7363.6363636363631</v>
      </c>
      <c r="G321" s="6">
        <f t="shared" si="4"/>
        <v>110454.54545454544</v>
      </c>
    </row>
    <row r="322" spans="1:7" ht="17.25" x14ac:dyDescent="0.3">
      <c r="A322" s="23" t="s">
        <v>130</v>
      </c>
      <c r="B322" s="22" t="s">
        <v>23</v>
      </c>
      <c r="C322" s="4" t="s">
        <v>342</v>
      </c>
      <c r="D322" s="4" t="s">
        <v>61</v>
      </c>
      <c r="E322" s="7">
        <v>71</v>
      </c>
      <c r="F322" s="5">
        <f>IFERROR(VLOOKUP(D322, Sheet2!$A:$C, 3, FALSE), 0)</f>
        <v>7363.6363636363631</v>
      </c>
      <c r="G322" s="6">
        <f t="shared" si="4"/>
        <v>522818.18181818177</v>
      </c>
    </row>
    <row r="323" spans="1:7" ht="17.25" x14ac:dyDescent="0.3">
      <c r="A323" s="23" t="s">
        <v>130</v>
      </c>
      <c r="B323" s="22" t="s">
        <v>23</v>
      </c>
      <c r="C323" s="4" t="s">
        <v>342</v>
      </c>
      <c r="D323" s="4" t="s">
        <v>61</v>
      </c>
      <c r="E323" s="7">
        <v>63</v>
      </c>
      <c r="F323" s="5">
        <f>IFERROR(VLOOKUP(D323, Sheet2!$A:$C, 3, FALSE), 0)</f>
        <v>7363.6363636363631</v>
      </c>
      <c r="G323" s="6">
        <f t="shared" ref="G323:G386" si="5">E323*F323</f>
        <v>463909.09090909088</v>
      </c>
    </row>
    <row r="324" spans="1:7" ht="17.25" x14ac:dyDescent="0.3">
      <c r="A324" s="23" t="s">
        <v>130</v>
      </c>
      <c r="B324" s="22" t="s">
        <v>46</v>
      </c>
      <c r="C324" s="4" t="s">
        <v>342</v>
      </c>
      <c r="D324" s="4" t="s">
        <v>61</v>
      </c>
      <c r="E324" s="7">
        <v>128</v>
      </c>
      <c r="F324" s="5">
        <f>IFERROR(VLOOKUP(D324, Sheet2!$A:$C, 3, FALSE), 0)</f>
        <v>7363.6363636363631</v>
      </c>
      <c r="G324" s="6">
        <f t="shared" si="5"/>
        <v>942545.45454545447</v>
      </c>
    </row>
    <row r="325" spans="1:7" ht="17.25" x14ac:dyDescent="0.3">
      <c r="A325" s="23" t="s">
        <v>130</v>
      </c>
      <c r="B325" s="22" t="s">
        <v>46</v>
      </c>
      <c r="C325" s="4" t="s">
        <v>344</v>
      </c>
      <c r="D325" s="4" t="s">
        <v>56</v>
      </c>
      <c r="E325" s="7">
        <v>406</v>
      </c>
      <c r="F325" s="5">
        <f>IFERROR(VLOOKUP(D325, Sheet2!$A:$C, 3, FALSE), 0)</f>
        <v>5545.454545454545</v>
      </c>
      <c r="G325" s="6">
        <f t="shared" si="5"/>
        <v>2251454.5454545454</v>
      </c>
    </row>
    <row r="326" spans="1:7" ht="17.25" x14ac:dyDescent="0.3">
      <c r="A326" s="23" t="s">
        <v>130</v>
      </c>
      <c r="B326" s="22" t="s">
        <v>33</v>
      </c>
      <c r="C326" s="4" t="s">
        <v>337</v>
      </c>
      <c r="D326" s="4" t="s">
        <v>12</v>
      </c>
      <c r="E326" s="7">
        <v>346</v>
      </c>
      <c r="F326" s="5">
        <f>IFERROR(VLOOKUP(D326, Sheet2!$A:$C, 3, FALSE), 0)</f>
        <v>26363.63636363636</v>
      </c>
      <c r="G326" s="6">
        <f t="shared" si="5"/>
        <v>9121818.1818181798</v>
      </c>
    </row>
    <row r="327" spans="1:7" ht="17.25" x14ac:dyDescent="0.3">
      <c r="A327" s="23" t="s">
        <v>130</v>
      </c>
      <c r="B327" s="22" t="s">
        <v>33</v>
      </c>
      <c r="C327" s="4" t="s">
        <v>344</v>
      </c>
      <c r="D327" s="4" t="s">
        <v>44</v>
      </c>
      <c r="E327" s="7">
        <v>184</v>
      </c>
      <c r="F327" s="5">
        <f>IFERROR(VLOOKUP(D327, Sheet2!$A:$C, 3, FALSE), 0)</f>
        <v>5909.090909090909</v>
      </c>
      <c r="G327" s="6">
        <f t="shared" si="5"/>
        <v>1087272.7272727273</v>
      </c>
    </row>
    <row r="328" spans="1:7" ht="17.25" x14ac:dyDescent="0.3">
      <c r="A328" s="23" t="s">
        <v>130</v>
      </c>
      <c r="B328" s="22" t="s">
        <v>41</v>
      </c>
      <c r="C328" s="4" t="s">
        <v>344</v>
      </c>
      <c r="D328" s="4" t="s">
        <v>52</v>
      </c>
      <c r="E328" s="7">
        <v>601</v>
      </c>
      <c r="F328" s="5">
        <f>IFERROR(VLOOKUP(D328, Sheet2!$A:$C, 3, FALSE), 0)</f>
        <v>5999.9999999999991</v>
      </c>
      <c r="G328" s="6">
        <f t="shared" si="5"/>
        <v>3605999.9999999995</v>
      </c>
    </row>
    <row r="329" spans="1:7" ht="17.25" x14ac:dyDescent="0.3">
      <c r="A329" s="23" t="s">
        <v>130</v>
      </c>
      <c r="B329" s="22" t="s">
        <v>16</v>
      </c>
      <c r="C329" s="4" t="s">
        <v>215</v>
      </c>
      <c r="D329" s="4" t="s">
        <v>116</v>
      </c>
      <c r="E329" s="7">
        <v>8993</v>
      </c>
      <c r="F329" s="5">
        <f>IFERROR(VLOOKUP(D329, Sheet2!$A:$C, 3, FALSE), 0)</f>
        <v>2045.4545454545453</v>
      </c>
      <c r="G329" s="6">
        <f t="shared" si="5"/>
        <v>18394772.727272727</v>
      </c>
    </row>
    <row r="330" spans="1:7" ht="17.25" x14ac:dyDescent="0.3">
      <c r="A330" s="22" t="s">
        <v>130</v>
      </c>
      <c r="B330" s="22" t="s">
        <v>18</v>
      </c>
      <c r="C330" s="4" t="s">
        <v>337</v>
      </c>
      <c r="D330" s="4" t="s">
        <v>6</v>
      </c>
      <c r="E330" s="7">
        <v>810</v>
      </c>
      <c r="F330" s="5">
        <f>IFERROR(VLOOKUP(D330, Sheet2!$A:$C, 3, FALSE), 0)</f>
        <v>14999.999999999998</v>
      </c>
      <c r="G330" s="6">
        <f t="shared" si="5"/>
        <v>12149999.999999998</v>
      </c>
    </row>
    <row r="331" spans="1:7" ht="17.25" x14ac:dyDescent="0.3">
      <c r="A331" s="23" t="s">
        <v>131</v>
      </c>
      <c r="B331" s="22" t="s">
        <v>48</v>
      </c>
      <c r="C331" s="4" t="s">
        <v>337</v>
      </c>
      <c r="D331" s="4" t="s">
        <v>101</v>
      </c>
      <c r="E331" s="7">
        <v>1264</v>
      </c>
      <c r="F331" s="5">
        <f>IFERROR(VLOOKUP(D331, Sheet2!$A:$C, 3, FALSE), 0)</f>
        <v>18090.909090909088</v>
      </c>
      <c r="G331" s="6">
        <f t="shared" si="5"/>
        <v>22866909.090909086</v>
      </c>
    </row>
    <row r="332" spans="1:7" ht="17.25" x14ac:dyDescent="0.3">
      <c r="A332" s="22" t="s">
        <v>131</v>
      </c>
      <c r="B332" s="22" t="s">
        <v>19</v>
      </c>
      <c r="C332" s="4" t="s">
        <v>338</v>
      </c>
      <c r="D332" s="4" t="s">
        <v>54</v>
      </c>
      <c r="E332" s="7">
        <v>511</v>
      </c>
      <c r="F332" s="5">
        <f>IFERROR(VLOOKUP(D332, Sheet2!$A:$C, 3, FALSE), 0)</f>
        <v>7899.9999999999991</v>
      </c>
      <c r="G332" s="6">
        <f t="shared" si="5"/>
        <v>4036899.9999999995</v>
      </c>
    </row>
    <row r="333" spans="1:7" ht="17.25" x14ac:dyDescent="0.3">
      <c r="A333" s="23" t="s">
        <v>131</v>
      </c>
      <c r="B333" s="22" t="s">
        <v>51</v>
      </c>
      <c r="C333" s="4" t="s">
        <v>337</v>
      </c>
      <c r="D333" s="4" t="s">
        <v>9</v>
      </c>
      <c r="E333" s="7">
        <v>990</v>
      </c>
      <c r="F333" s="5">
        <f>IFERROR(VLOOKUP(D333, Sheet2!$A:$C, 3, FALSE), 0)</f>
        <v>18636.363636363636</v>
      </c>
      <c r="G333" s="6">
        <f t="shared" si="5"/>
        <v>18450000</v>
      </c>
    </row>
    <row r="334" spans="1:7" ht="17.25" x14ac:dyDescent="0.3">
      <c r="A334" s="23" t="s">
        <v>131</v>
      </c>
      <c r="B334" s="22" t="s">
        <v>21</v>
      </c>
      <c r="C334" s="4" t="s">
        <v>344</v>
      </c>
      <c r="D334" s="4" t="s">
        <v>22</v>
      </c>
      <c r="E334" s="7">
        <v>146</v>
      </c>
      <c r="F334" s="5">
        <f>IFERROR(VLOOKUP(D334, Sheet2!$A:$C, 3, FALSE), 0)</f>
        <v>5999.9999999999991</v>
      </c>
      <c r="G334" s="6">
        <f t="shared" si="5"/>
        <v>875999.99999999988</v>
      </c>
    </row>
    <row r="335" spans="1:7" ht="17.25" x14ac:dyDescent="0.3">
      <c r="A335" s="23" t="s">
        <v>131</v>
      </c>
      <c r="B335" s="22" t="s">
        <v>93</v>
      </c>
      <c r="C335" s="4" t="s">
        <v>337</v>
      </c>
      <c r="D335" s="4" t="s">
        <v>127</v>
      </c>
      <c r="E335" s="7">
        <v>844</v>
      </c>
      <c r="F335" s="5">
        <f>IFERROR(VLOOKUP(D335, Sheet2!$A:$C, 3, FALSE), 0)</f>
        <v>45000</v>
      </c>
      <c r="G335" s="6">
        <f t="shared" si="5"/>
        <v>37980000</v>
      </c>
    </row>
    <row r="336" spans="1:7" ht="17.25" x14ac:dyDescent="0.3">
      <c r="A336" s="23" t="s">
        <v>131</v>
      </c>
      <c r="B336" s="22" t="s">
        <v>25</v>
      </c>
      <c r="C336" s="4" t="s">
        <v>337</v>
      </c>
      <c r="D336" s="4" t="s">
        <v>26</v>
      </c>
      <c r="E336" s="7">
        <v>292</v>
      </c>
      <c r="F336" s="5">
        <f>IFERROR(VLOOKUP(D336, Sheet2!$A:$C, 3, FALSE), 0)</f>
        <v>21000</v>
      </c>
      <c r="G336" s="6">
        <f t="shared" si="5"/>
        <v>6132000</v>
      </c>
    </row>
    <row r="337" spans="1:7" ht="17.25" x14ac:dyDescent="0.3">
      <c r="A337" s="23" t="s">
        <v>131</v>
      </c>
      <c r="B337" s="22" t="s">
        <v>43</v>
      </c>
      <c r="C337" s="4" t="s">
        <v>216</v>
      </c>
      <c r="D337" s="4" t="s">
        <v>84</v>
      </c>
      <c r="E337" s="7">
        <v>391</v>
      </c>
      <c r="F337" s="5">
        <f>IFERROR(VLOOKUP(D337, Sheet2!$A:$C, 3, FALSE), 0)</f>
        <v>2090.9090909090905</v>
      </c>
      <c r="G337" s="6">
        <f t="shared" si="5"/>
        <v>817545.45454545435</v>
      </c>
    </row>
    <row r="338" spans="1:7" ht="17.25" x14ac:dyDescent="0.3">
      <c r="A338" s="23" t="s">
        <v>131</v>
      </c>
      <c r="B338" s="22" t="s">
        <v>43</v>
      </c>
      <c r="C338" s="4" t="s">
        <v>344</v>
      </c>
      <c r="D338" s="4" t="s">
        <v>39</v>
      </c>
      <c r="E338" s="7">
        <v>377</v>
      </c>
      <c r="F338" s="5">
        <f>IFERROR(VLOOKUP(D338, Sheet2!$A:$C, 3, FALSE), 0)</f>
        <v>3863.6363636363635</v>
      </c>
      <c r="G338" s="6">
        <f t="shared" si="5"/>
        <v>1456590.9090909089</v>
      </c>
    </row>
    <row r="339" spans="1:7" ht="17.25" x14ac:dyDescent="0.3">
      <c r="A339" s="23" t="s">
        <v>131</v>
      </c>
      <c r="B339" s="22" t="s">
        <v>95</v>
      </c>
      <c r="C339" s="4" t="s">
        <v>337</v>
      </c>
      <c r="D339" s="4" t="s">
        <v>127</v>
      </c>
      <c r="E339" s="7">
        <v>543</v>
      </c>
      <c r="F339" s="5">
        <f>IFERROR(VLOOKUP(D339, Sheet2!$A:$C, 3, FALSE), 0)</f>
        <v>45000</v>
      </c>
      <c r="G339" s="6">
        <f t="shared" si="5"/>
        <v>24435000</v>
      </c>
    </row>
    <row r="340" spans="1:7" ht="17.25" x14ac:dyDescent="0.3">
      <c r="A340" s="23" t="s">
        <v>131</v>
      </c>
      <c r="B340" s="22" t="s">
        <v>23</v>
      </c>
      <c r="C340" s="4" t="s">
        <v>344</v>
      </c>
      <c r="D340" s="4" t="s">
        <v>44</v>
      </c>
      <c r="E340" s="7">
        <v>113</v>
      </c>
      <c r="F340" s="5">
        <f>IFERROR(VLOOKUP(D340, Sheet2!$A:$C, 3, FALSE), 0)</f>
        <v>5909.090909090909</v>
      </c>
      <c r="G340" s="6">
        <f t="shared" si="5"/>
        <v>667727.27272727271</v>
      </c>
    </row>
    <row r="341" spans="1:7" ht="17.25" x14ac:dyDescent="0.3">
      <c r="A341" s="22" t="s">
        <v>131</v>
      </c>
      <c r="B341" s="22" t="s">
        <v>23</v>
      </c>
      <c r="C341" s="4" t="s">
        <v>342</v>
      </c>
      <c r="D341" s="4" t="s">
        <v>61</v>
      </c>
      <c r="E341" s="7">
        <v>29</v>
      </c>
      <c r="F341" s="5">
        <f>IFERROR(VLOOKUP(D341, Sheet2!$A:$C, 3, FALSE), 0)</f>
        <v>7363.6363636363631</v>
      </c>
      <c r="G341" s="6">
        <f t="shared" si="5"/>
        <v>213545.45454545453</v>
      </c>
    </row>
    <row r="342" spans="1:7" ht="17.25" x14ac:dyDescent="0.3">
      <c r="A342" s="22" t="s">
        <v>131</v>
      </c>
      <c r="B342" s="22" t="s">
        <v>43</v>
      </c>
      <c r="C342" s="4" t="s">
        <v>341</v>
      </c>
      <c r="D342" s="4" t="s">
        <v>110</v>
      </c>
      <c r="E342" s="7">
        <v>58</v>
      </c>
      <c r="F342" s="5">
        <f>IFERROR(VLOOKUP(D342, Sheet2!$A:$C, 3, FALSE), 0)</f>
        <v>2500</v>
      </c>
      <c r="G342" s="6">
        <f t="shared" si="5"/>
        <v>145000</v>
      </c>
    </row>
    <row r="343" spans="1:7" ht="17.25" x14ac:dyDescent="0.3">
      <c r="A343" s="23" t="s">
        <v>132</v>
      </c>
      <c r="B343" s="22" t="s">
        <v>51</v>
      </c>
      <c r="C343" s="4" t="s">
        <v>344</v>
      </c>
      <c r="D343" s="4" t="s">
        <v>53</v>
      </c>
      <c r="E343" s="7">
        <v>803</v>
      </c>
      <c r="F343" s="5">
        <f>IFERROR(VLOOKUP(D343, Sheet2!$A:$C, 3, FALSE), 0)</f>
        <v>5818.181818181818</v>
      </c>
      <c r="G343" s="6">
        <f t="shared" si="5"/>
        <v>4672000</v>
      </c>
    </row>
    <row r="344" spans="1:7" ht="17.25" x14ac:dyDescent="0.3">
      <c r="A344" s="23" t="s">
        <v>133</v>
      </c>
      <c r="B344" s="22" t="s">
        <v>48</v>
      </c>
      <c r="C344" s="4" t="s">
        <v>337</v>
      </c>
      <c r="D344" s="4" t="s">
        <v>101</v>
      </c>
      <c r="E344" s="7">
        <v>1097</v>
      </c>
      <c r="F344" s="5">
        <f>IFERROR(VLOOKUP(D344, Sheet2!$A:$C, 3, FALSE), 0)</f>
        <v>18090.909090909088</v>
      </c>
      <c r="G344" s="6">
        <f t="shared" si="5"/>
        <v>19845727.27272727</v>
      </c>
    </row>
    <row r="345" spans="1:7" ht="17.25" x14ac:dyDescent="0.3">
      <c r="A345" s="23" t="s">
        <v>133</v>
      </c>
      <c r="B345" s="22" t="s">
        <v>46</v>
      </c>
      <c r="C345" s="4" t="s">
        <v>342</v>
      </c>
      <c r="D345" s="4" t="s">
        <v>61</v>
      </c>
      <c r="E345" s="7">
        <v>172</v>
      </c>
      <c r="F345" s="5">
        <f>IFERROR(VLOOKUP(D345, Sheet2!$A:$C, 3, FALSE), 0)</f>
        <v>7363.6363636363631</v>
      </c>
      <c r="G345" s="6">
        <f t="shared" si="5"/>
        <v>1266545.4545454544</v>
      </c>
    </row>
    <row r="346" spans="1:7" ht="17.25" x14ac:dyDescent="0.3">
      <c r="A346" s="23" t="s">
        <v>131</v>
      </c>
      <c r="B346" s="22" t="s">
        <v>16</v>
      </c>
      <c r="C346" s="4" t="s">
        <v>344</v>
      </c>
      <c r="D346" s="4" t="s">
        <v>53</v>
      </c>
      <c r="E346" s="7">
        <v>863</v>
      </c>
      <c r="F346" s="5">
        <f>IFERROR(VLOOKUP(D346, Sheet2!$A:$C, 3, FALSE), 0)</f>
        <v>5818.181818181818</v>
      </c>
      <c r="G346" s="6">
        <f t="shared" si="5"/>
        <v>5021090.9090909092</v>
      </c>
    </row>
    <row r="347" spans="1:7" ht="17.25" x14ac:dyDescent="0.3">
      <c r="A347" s="23" t="s">
        <v>134</v>
      </c>
      <c r="B347" s="22" t="s">
        <v>60</v>
      </c>
      <c r="C347" s="4" t="s">
        <v>342</v>
      </c>
      <c r="D347" s="4" t="s">
        <v>61</v>
      </c>
      <c r="E347" s="7">
        <v>60</v>
      </c>
      <c r="F347" s="5">
        <f>IFERROR(VLOOKUP(D347, Sheet2!$A:$C, 3, FALSE), 0)</f>
        <v>7363.6363636363631</v>
      </c>
      <c r="G347" s="6">
        <f t="shared" si="5"/>
        <v>441818.18181818177</v>
      </c>
    </row>
    <row r="348" spans="1:7" ht="17.25" x14ac:dyDescent="0.3">
      <c r="A348" s="23" t="s">
        <v>134</v>
      </c>
      <c r="B348" s="22" t="s">
        <v>21</v>
      </c>
      <c r="C348" s="4" t="s">
        <v>344</v>
      </c>
      <c r="D348" s="4" t="s">
        <v>44</v>
      </c>
      <c r="E348" s="7">
        <v>195</v>
      </c>
      <c r="F348" s="5">
        <f>IFERROR(VLOOKUP(D348, Sheet2!$A:$C, 3, FALSE), 0)</f>
        <v>5909.090909090909</v>
      </c>
      <c r="G348" s="6">
        <f t="shared" si="5"/>
        <v>1152272.7272727273</v>
      </c>
    </row>
    <row r="349" spans="1:7" ht="17.25" x14ac:dyDescent="0.3">
      <c r="A349" s="23" t="s">
        <v>134</v>
      </c>
      <c r="B349" s="22" t="s">
        <v>93</v>
      </c>
      <c r="C349" s="4" t="s">
        <v>343</v>
      </c>
      <c r="D349" s="4" t="s">
        <v>135</v>
      </c>
      <c r="E349" s="7">
        <v>1440</v>
      </c>
      <c r="F349" s="5">
        <f>IFERROR(VLOOKUP(D349, Sheet2!$A:$C, 3, FALSE), 0)</f>
        <v>13999.999999999998</v>
      </c>
      <c r="G349" s="6">
        <f t="shared" si="5"/>
        <v>20159999.999999996</v>
      </c>
    </row>
    <row r="350" spans="1:7" ht="17.25" x14ac:dyDescent="0.3">
      <c r="A350" s="23" t="s">
        <v>134</v>
      </c>
      <c r="B350" s="22" t="s">
        <v>24</v>
      </c>
      <c r="C350" s="4" t="s">
        <v>344</v>
      </c>
      <c r="D350" s="4" t="s">
        <v>22</v>
      </c>
      <c r="E350" s="7">
        <v>69</v>
      </c>
      <c r="F350" s="5">
        <f>IFERROR(VLOOKUP(D350, Sheet2!$A:$C, 3, FALSE), 0)</f>
        <v>5999.9999999999991</v>
      </c>
      <c r="G350" s="6">
        <f t="shared" si="5"/>
        <v>413999.99999999994</v>
      </c>
    </row>
    <row r="351" spans="1:7" ht="17.25" x14ac:dyDescent="0.3">
      <c r="A351" s="23" t="s">
        <v>134</v>
      </c>
      <c r="B351" s="22" t="s">
        <v>25</v>
      </c>
      <c r="C351" s="4" t="s">
        <v>337</v>
      </c>
      <c r="D351" s="4" t="s">
        <v>9</v>
      </c>
      <c r="E351" s="7">
        <v>1160</v>
      </c>
      <c r="F351" s="5">
        <f>IFERROR(VLOOKUP(D351, Sheet2!$A:$C, 3, FALSE), 0)</f>
        <v>18636.363636363636</v>
      </c>
      <c r="G351" s="6">
        <f t="shared" si="5"/>
        <v>21618181.818181816</v>
      </c>
    </row>
    <row r="352" spans="1:7" ht="17.25" x14ac:dyDescent="0.3">
      <c r="A352" s="23" t="s">
        <v>134</v>
      </c>
      <c r="B352" s="22" t="s">
        <v>95</v>
      </c>
      <c r="C352" s="4" t="s">
        <v>343</v>
      </c>
      <c r="D352" s="4" t="s">
        <v>135</v>
      </c>
      <c r="E352" s="7">
        <v>904</v>
      </c>
      <c r="F352" s="5">
        <f>IFERROR(VLOOKUP(D352, Sheet2!$A:$C, 3, FALSE), 0)</f>
        <v>13999.999999999998</v>
      </c>
      <c r="G352" s="6">
        <f t="shared" si="5"/>
        <v>12655999.999999998</v>
      </c>
    </row>
    <row r="353" spans="1:7" ht="17.25" x14ac:dyDescent="0.3">
      <c r="A353" s="23" t="s">
        <v>134</v>
      </c>
      <c r="B353" s="22" t="s">
        <v>75</v>
      </c>
      <c r="C353" s="4" t="s">
        <v>342</v>
      </c>
      <c r="D353" s="4" t="s">
        <v>61</v>
      </c>
      <c r="E353" s="7">
        <v>279</v>
      </c>
      <c r="F353" s="5">
        <f>IFERROR(VLOOKUP(D353, Sheet2!$A:$C, 3, FALSE), 0)</f>
        <v>7363.6363636363631</v>
      </c>
      <c r="G353" s="6">
        <f t="shared" si="5"/>
        <v>2054454.5454545452</v>
      </c>
    </row>
    <row r="354" spans="1:7" ht="17.25" x14ac:dyDescent="0.3">
      <c r="A354" s="22" t="s">
        <v>134</v>
      </c>
      <c r="B354" s="22" t="s">
        <v>66</v>
      </c>
      <c r="C354" s="4" t="s">
        <v>339</v>
      </c>
      <c r="D354" s="4" t="s">
        <v>67</v>
      </c>
      <c r="E354" s="7">
        <v>948</v>
      </c>
      <c r="F354" s="5">
        <f>IFERROR(VLOOKUP(D354, Sheet2!$A:$C, 3, FALSE), 0)</f>
        <v>10818.181818181818</v>
      </c>
      <c r="G354" s="6">
        <f t="shared" si="5"/>
        <v>10255636.363636363</v>
      </c>
    </row>
    <row r="355" spans="1:7" ht="17.25" x14ac:dyDescent="0.3">
      <c r="A355" s="23" t="s">
        <v>136</v>
      </c>
      <c r="B355" s="22" t="s">
        <v>48</v>
      </c>
      <c r="C355" s="4" t="s">
        <v>344</v>
      </c>
      <c r="D355" s="4" t="s">
        <v>59</v>
      </c>
      <c r="E355" s="7">
        <v>209</v>
      </c>
      <c r="F355" s="5">
        <f>IFERROR(VLOOKUP(D355, Sheet2!$A:$C, 3, FALSE), 0)</f>
        <v>4681.8181818181811</v>
      </c>
      <c r="G355" s="6">
        <f t="shared" si="5"/>
        <v>978499.99999999988</v>
      </c>
    </row>
    <row r="356" spans="1:7" ht="17.25" x14ac:dyDescent="0.3">
      <c r="A356" s="23" t="s">
        <v>136</v>
      </c>
      <c r="B356" s="22" t="s">
        <v>14</v>
      </c>
      <c r="C356" s="4" t="s">
        <v>344</v>
      </c>
      <c r="D356" s="4" t="s">
        <v>15</v>
      </c>
      <c r="E356" s="7">
        <v>371</v>
      </c>
      <c r="F356" s="5">
        <f>IFERROR(VLOOKUP(D356, Sheet2!$A:$C, 3, FALSE), 0)</f>
        <v>3863.6363636363635</v>
      </c>
      <c r="G356" s="6">
        <f t="shared" si="5"/>
        <v>1433409.0909090908</v>
      </c>
    </row>
    <row r="357" spans="1:7" ht="17.25" x14ac:dyDescent="0.3">
      <c r="A357" s="23" t="s">
        <v>136</v>
      </c>
      <c r="B357" s="22" t="s">
        <v>8</v>
      </c>
      <c r="C357" s="4" t="s">
        <v>338</v>
      </c>
      <c r="D357" s="4" t="s">
        <v>36</v>
      </c>
      <c r="E357" s="7">
        <v>132</v>
      </c>
      <c r="F357" s="5">
        <f>IFERROR(VLOOKUP(D357, Sheet2!$A:$C, 3, FALSE), 0)</f>
        <v>7899.9999999999991</v>
      </c>
      <c r="G357" s="6">
        <f t="shared" si="5"/>
        <v>1042799.9999999999</v>
      </c>
    </row>
    <row r="358" spans="1:7" ht="17.25" x14ac:dyDescent="0.3">
      <c r="A358" s="23" t="s">
        <v>136</v>
      </c>
      <c r="B358" s="22" t="s">
        <v>8</v>
      </c>
      <c r="C358" s="4" t="s">
        <v>339</v>
      </c>
      <c r="D358" s="4" t="s">
        <v>10</v>
      </c>
      <c r="E358" s="7">
        <v>295</v>
      </c>
      <c r="F358" s="5">
        <f>IFERROR(VLOOKUP(D358, Sheet2!$A:$C, 3, FALSE), 0)</f>
        <v>20818.181818181816</v>
      </c>
      <c r="G358" s="6">
        <f t="shared" si="5"/>
        <v>6141363.6363636358</v>
      </c>
    </row>
    <row r="359" spans="1:7" ht="17.25" x14ac:dyDescent="0.3">
      <c r="A359" s="23" t="s">
        <v>136</v>
      </c>
      <c r="B359" s="22" t="s">
        <v>31</v>
      </c>
      <c r="C359" s="4" t="s">
        <v>337</v>
      </c>
      <c r="D359" s="4" t="s">
        <v>83</v>
      </c>
      <c r="E359" s="7">
        <v>582</v>
      </c>
      <c r="F359" s="5">
        <f>IFERROR(VLOOKUP(D359, Sheet2!$A:$C, 3, FALSE), 0)</f>
        <v>7636.363636363636</v>
      </c>
      <c r="G359" s="6">
        <f t="shared" si="5"/>
        <v>4444363.6363636358</v>
      </c>
    </row>
    <row r="360" spans="1:7" ht="17.25" x14ac:dyDescent="0.3">
      <c r="A360" s="23" t="s">
        <v>136</v>
      </c>
      <c r="B360" s="22" t="s">
        <v>31</v>
      </c>
      <c r="C360" s="4" t="s">
        <v>344</v>
      </c>
      <c r="D360" s="4" t="s">
        <v>32</v>
      </c>
      <c r="E360" s="7">
        <v>638</v>
      </c>
      <c r="F360" s="5">
        <f>IFERROR(VLOOKUP(D360, Sheet2!$A:$C, 3, FALSE), 0)</f>
        <v>4363.6363636363631</v>
      </c>
      <c r="G360" s="6">
        <f t="shared" si="5"/>
        <v>2783999.9999999995</v>
      </c>
    </row>
    <row r="361" spans="1:7" ht="17.25" x14ac:dyDescent="0.3">
      <c r="A361" s="23" t="s">
        <v>136</v>
      </c>
      <c r="B361" s="22" t="s">
        <v>46</v>
      </c>
      <c r="C361" s="4" t="s">
        <v>342</v>
      </c>
      <c r="D361" s="4" t="s">
        <v>35</v>
      </c>
      <c r="E361" s="7">
        <v>220</v>
      </c>
      <c r="F361" s="5">
        <f>IFERROR(VLOOKUP(D361, Sheet2!$A:$C, 3, FALSE), 0)</f>
        <v>8363.6363636363621</v>
      </c>
      <c r="G361" s="6">
        <f t="shared" si="5"/>
        <v>1839999.9999999998</v>
      </c>
    </row>
    <row r="362" spans="1:7" ht="17.25" x14ac:dyDescent="0.3">
      <c r="A362" s="23" t="s">
        <v>136</v>
      </c>
      <c r="B362" s="22" t="s">
        <v>46</v>
      </c>
      <c r="C362" s="4" t="s">
        <v>344</v>
      </c>
      <c r="D362" s="4" t="s">
        <v>56</v>
      </c>
      <c r="E362" s="7">
        <v>264</v>
      </c>
      <c r="F362" s="5">
        <f>IFERROR(VLOOKUP(D362, Sheet2!$A:$C, 3, FALSE), 0)</f>
        <v>5545.454545454545</v>
      </c>
      <c r="G362" s="6">
        <f t="shared" si="5"/>
        <v>1464000</v>
      </c>
    </row>
    <row r="363" spans="1:7" ht="17.25" x14ac:dyDescent="0.3">
      <c r="A363" s="23" t="s">
        <v>136</v>
      </c>
      <c r="B363" s="22" t="s">
        <v>33</v>
      </c>
      <c r="C363" s="4" t="s">
        <v>344</v>
      </c>
      <c r="D363" s="4" t="s">
        <v>44</v>
      </c>
      <c r="E363" s="7">
        <v>185</v>
      </c>
      <c r="F363" s="5">
        <f>IFERROR(VLOOKUP(D363, Sheet2!$A:$C, 3, FALSE), 0)</f>
        <v>5909.090909090909</v>
      </c>
      <c r="G363" s="6">
        <f t="shared" si="5"/>
        <v>1093181.8181818181</v>
      </c>
    </row>
    <row r="364" spans="1:7" ht="17.25" x14ac:dyDescent="0.3">
      <c r="A364" s="23" t="s">
        <v>136</v>
      </c>
      <c r="B364" s="22" t="s">
        <v>41</v>
      </c>
      <c r="C364" s="4" t="s">
        <v>216</v>
      </c>
      <c r="D364" s="4" t="s">
        <v>84</v>
      </c>
      <c r="E364" s="7">
        <v>134</v>
      </c>
      <c r="F364" s="5">
        <f>IFERROR(VLOOKUP(D364, Sheet2!$A:$C, 3, FALSE), 0)</f>
        <v>2090.9090909090905</v>
      </c>
      <c r="G364" s="6">
        <f t="shared" si="5"/>
        <v>280181.81818181812</v>
      </c>
    </row>
    <row r="365" spans="1:7" ht="17.25" x14ac:dyDescent="0.3">
      <c r="A365" s="22" t="s">
        <v>136</v>
      </c>
      <c r="B365" s="22" t="s">
        <v>69</v>
      </c>
      <c r="C365" s="4" t="s">
        <v>342</v>
      </c>
      <c r="D365" s="4" t="s">
        <v>61</v>
      </c>
      <c r="E365" s="7">
        <v>183</v>
      </c>
      <c r="F365" s="5">
        <f>IFERROR(VLOOKUP(D365, Sheet2!$A:$C, 3, FALSE), 0)</f>
        <v>7363.6363636363631</v>
      </c>
      <c r="G365" s="6">
        <f t="shared" si="5"/>
        <v>1347545.4545454544</v>
      </c>
    </row>
    <row r="366" spans="1:7" ht="17.25" x14ac:dyDescent="0.3">
      <c r="A366" s="22" t="s">
        <v>136</v>
      </c>
      <c r="B366" s="22" t="s">
        <v>43</v>
      </c>
      <c r="C366" s="4" t="s">
        <v>341</v>
      </c>
      <c r="D366" s="4" t="s">
        <v>110</v>
      </c>
      <c r="E366" s="7">
        <v>53</v>
      </c>
      <c r="F366" s="5">
        <f>IFERROR(VLOOKUP(D366, Sheet2!$A:$C, 3, FALSE), 0)</f>
        <v>2500</v>
      </c>
      <c r="G366" s="6">
        <f t="shared" si="5"/>
        <v>132500</v>
      </c>
    </row>
    <row r="367" spans="1:7" ht="17.25" x14ac:dyDescent="0.3">
      <c r="A367" s="22" t="s">
        <v>136</v>
      </c>
      <c r="B367" s="22" t="s">
        <v>43</v>
      </c>
      <c r="C367" s="4" t="s">
        <v>341</v>
      </c>
      <c r="D367" s="4" t="s">
        <v>68</v>
      </c>
      <c r="E367" s="7">
        <v>16</v>
      </c>
      <c r="F367" s="5">
        <f>IFERROR(VLOOKUP(D367, Sheet2!$A:$C, 3, FALSE), 0)</f>
        <v>13400</v>
      </c>
      <c r="G367" s="6">
        <f t="shared" si="5"/>
        <v>214400</v>
      </c>
    </row>
    <row r="368" spans="1:7" ht="17.25" x14ac:dyDescent="0.3">
      <c r="A368" s="22" t="s">
        <v>136</v>
      </c>
      <c r="B368" s="22" t="s">
        <v>63</v>
      </c>
      <c r="C368" s="4" t="s">
        <v>342</v>
      </c>
      <c r="D368" s="4" t="s">
        <v>61</v>
      </c>
      <c r="E368" s="7">
        <v>82</v>
      </c>
      <c r="F368" s="5">
        <f>IFERROR(VLOOKUP(D368, Sheet2!$A:$C, 3, FALSE), 0)</f>
        <v>7363.6363636363631</v>
      </c>
      <c r="G368" s="6">
        <f t="shared" si="5"/>
        <v>603818.18181818177</v>
      </c>
    </row>
    <row r="369" spans="1:7" ht="17.25" x14ac:dyDescent="0.3">
      <c r="A369" s="23" t="s">
        <v>136</v>
      </c>
      <c r="B369" s="22" t="s">
        <v>18</v>
      </c>
      <c r="C369" s="4" t="s">
        <v>339</v>
      </c>
      <c r="D369" s="4" t="s">
        <v>97</v>
      </c>
      <c r="E369" s="7">
        <v>425</v>
      </c>
      <c r="F369" s="5">
        <f>IFERROR(VLOOKUP(D369, Sheet2!$A:$C, 3, FALSE), 0)</f>
        <v>17181.81818181818</v>
      </c>
      <c r="G369" s="6">
        <f t="shared" si="5"/>
        <v>7302272.7272727266</v>
      </c>
    </row>
    <row r="370" spans="1:7" ht="17.25" x14ac:dyDescent="0.3">
      <c r="A370" s="23" t="s">
        <v>137</v>
      </c>
      <c r="B370" s="22" t="s">
        <v>11</v>
      </c>
      <c r="C370" s="4" t="s">
        <v>343</v>
      </c>
      <c r="D370" s="4" t="s">
        <v>135</v>
      </c>
      <c r="E370" s="7">
        <v>911</v>
      </c>
      <c r="F370" s="5">
        <f>IFERROR(VLOOKUP(D370, Sheet2!$A:$C, 3, FALSE), 0)</f>
        <v>13999.999999999998</v>
      </c>
      <c r="G370" s="6">
        <f t="shared" si="5"/>
        <v>12753999.999999998</v>
      </c>
    </row>
    <row r="371" spans="1:7" ht="17.25" x14ac:dyDescent="0.3">
      <c r="A371" s="23" t="s">
        <v>137</v>
      </c>
      <c r="B371" s="22" t="s">
        <v>48</v>
      </c>
      <c r="C371" s="4" t="s">
        <v>344</v>
      </c>
      <c r="D371" s="4" t="s">
        <v>59</v>
      </c>
      <c r="E371" s="7">
        <v>173</v>
      </c>
      <c r="F371" s="5">
        <f>IFERROR(VLOOKUP(D371, Sheet2!$A:$C, 3, FALSE), 0)</f>
        <v>4681.8181818181811</v>
      </c>
      <c r="G371" s="6">
        <f t="shared" si="5"/>
        <v>809954.5454545453</v>
      </c>
    </row>
    <row r="372" spans="1:7" ht="17.25" x14ac:dyDescent="0.3">
      <c r="A372" s="23" t="s">
        <v>138</v>
      </c>
      <c r="B372" s="22" t="s">
        <v>11</v>
      </c>
      <c r="C372" s="4" t="s">
        <v>337</v>
      </c>
      <c r="D372" s="4" t="s">
        <v>13</v>
      </c>
      <c r="E372" s="7">
        <v>89</v>
      </c>
      <c r="F372" s="5">
        <f>IFERROR(VLOOKUP(D372, Sheet2!$A:$C, 3, FALSE), 0)</f>
        <v>18090.909090909088</v>
      </c>
      <c r="G372" s="6">
        <f t="shared" si="5"/>
        <v>1610090.9090909089</v>
      </c>
    </row>
    <row r="373" spans="1:7" ht="17.25" x14ac:dyDescent="0.3">
      <c r="A373" s="23" t="s">
        <v>137</v>
      </c>
      <c r="B373" s="22" t="s">
        <v>25</v>
      </c>
      <c r="C373" s="4" t="s">
        <v>337</v>
      </c>
      <c r="D373" s="4" t="s">
        <v>78</v>
      </c>
      <c r="E373" s="7">
        <v>1197</v>
      </c>
      <c r="F373" s="5">
        <f>IFERROR(VLOOKUP(D373, Sheet2!$A:$C, 3, FALSE), 0)</f>
        <v>14999.999999999998</v>
      </c>
      <c r="G373" s="6">
        <f t="shared" si="5"/>
        <v>17954999.999999996</v>
      </c>
    </row>
    <row r="374" spans="1:7" ht="17.25" x14ac:dyDescent="0.3">
      <c r="A374" s="23" t="s">
        <v>137</v>
      </c>
      <c r="B374" s="22" t="s">
        <v>46</v>
      </c>
      <c r="C374" s="4" t="s">
        <v>342</v>
      </c>
      <c r="D374" s="4" t="s">
        <v>61</v>
      </c>
      <c r="E374" s="7">
        <v>164</v>
      </c>
      <c r="F374" s="5">
        <f>IFERROR(VLOOKUP(D374, Sheet2!$A:$C, 3, FALSE), 0)</f>
        <v>7363.6363636363631</v>
      </c>
      <c r="G374" s="6">
        <f t="shared" si="5"/>
        <v>1207636.3636363635</v>
      </c>
    </row>
    <row r="375" spans="1:7" ht="17.25" x14ac:dyDescent="0.3">
      <c r="A375" s="22" t="s">
        <v>137</v>
      </c>
      <c r="B375" s="22" t="s">
        <v>43</v>
      </c>
      <c r="C375" s="4" t="s">
        <v>341</v>
      </c>
      <c r="D375" s="4" t="s">
        <v>110</v>
      </c>
      <c r="E375" s="7">
        <v>51</v>
      </c>
      <c r="F375" s="5">
        <f>IFERROR(VLOOKUP(D375, Sheet2!$A:$C, 3, FALSE), 0)</f>
        <v>2500</v>
      </c>
      <c r="G375" s="6">
        <f t="shared" si="5"/>
        <v>127500</v>
      </c>
    </row>
    <row r="376" spans="1:7" ht="17.25" x14ac:dyDescent="0.3">
      <c r="A376" s="22" t="s">
        <v>137</v>
      </c>
      <c r="B376" s="22" t="s">
        <v>63</v>
      </c>
      <c r="C376" s="4" t="s">
        <v>338</v>
      </c>
      <c r="D376" s="4" t="s">
        <v>73</v>
      </c>
      <c r="E376" s="7">
        <v>793</v>
      </c>
      <c r="F376" s="5">
        <f>IFERROR(VLOOKUP(D376, Sheet2!$A:$C, 3, FALSE), 0)</f>
        <v>7899.9999999999991</v>
      </c>
      <c r="G376" s="6">
        <f t="shared" si="5"/>
        <v>6264699.9999999991</v>
      </c>
    </row>
    <row r="377" spans="1:7" ht="17.25" x14ac:dyDescent="0.3">
      <c r="A377" s="22" t="s">
        <v>137</v>
      </c>
      <c r="B377" s="22" t="s">
        <v>11</v>
      </c>
      <c r="C377" s="4" t="s">
        <v>344</v>
      </c>
      <c r="D377" s="4" t="s">
        <v>139</v>
      </c>
      <c r="E377" s="7">
        <v>960</v>
      </c>
      <c r="F377" s="5">
        <f>IFERROR(VLOOKUP(D377, Sheet2!$A:$C, 3, FALSE), 0)</f>
        <v>4363.6363636363631</v>
      </c>
      <c r="G377" s="6">
        <f t="shared" si="5"/>
        <v>4189090.9090909087</v>
      </c>
    </row>
    <row r="378" spans="1:7" ht="17.25" x14ac:dyDescent="0.3">
      <c r="A378" s="22" t="s">
        <v>137</v>
      </c>
      <c r="B378" s="22" t="s">
        <v>25</v>
      </c>
      <c r="C378" s="4" t="s">
        <v>337</v>
      </c>
      <c r="D378" s="4" t="s">
        <v>9</v>
      </c>
      <c r="E378" s="7">
        <v>4</v>
      </c>
      <c r="F378" s="5">
        <f>IFERROR(VLOOKUP(D378, Sheet2!$A:$C, 3, FALSE), 0)</f>
        <v>18636.363636363636</v>
      </c>
      <c r="G378" s="6">
        <f t="shared" si="5"/>
        <v>74545.454545454544</v>
      </c>
    </row>
    <row r="379" spans="1:7" ht="17.25" x14ac:dyDescent="0.3">
      <c r="A379" s="23" t="s">
        <v>140</v>
      </c>
      <c r="B379" s="22" t="s">
        <v>48</v>
      </c>
      <c r="C379" s="4" t="s">
        <v>337</v>
      </c>
      <c r="D379" s="4" t="s">
        <v>13</v>
      </c>
      <c r="E379" s="7">
        <v>931</v>
      </c>
      <c r="F379" s="5">
        <f>IFERROR(VLOOKUP(D379, Sheet2!$A:$C, 3, FALSE), 0)</f>
        <v>18090.909090909088</v>
      </c>
      <c r="G379" s="6">
        <f t="shared" si="5"/>
        <v>16842636.36363636</v>
      </c>
    </row>
    <row r="380" spans="1:7" ht="17.25" x14ac:dyDescent="0.3">
      <c r="A380" s="23" t="s">
        <v>140</v>
      </c>
      <c r="B380" s="22" t="s">
        <v>60</v>
      </c>
      <c r="C380" s="4" t="s">
        <v>337</v>
      </c>
      <c r="D380" s="4" t="s">
        <v>55</v>
      </c>
      <c r="E380" s="7">
        <v>554</v>
      </c>
      <c r="F380" s="5">
        <f>IFERROR(VLOOKUP(D380, Sheet2!$A:$C, 3, FALSE), 0)</f>
        <v>14899.999999999998</v>
      </c>
      <c r="G380" s="6">
        <f t="shared" si="5"/>
        <v>8254599.9999999991</v>
      </c>
    </row>
    <row r="381" spans="1:7" ht="17.25" x14ac:dyDescent="0.3">
      <c r="A381" s="23" t="s">
        <v>140</v>
      </c>
      <c r="B381" s="22" t="s">
        <v>21</v>
      </c>
      <c r="C381" s="4" t="s">
        <v>344</v>
      </c>
      <c r="D381" s="4" t="s">
        <v>20</v>
      </c>
      <c r="E381" s="7">
        <v>205</v>
      </c>
      <c r="F381" s="5">
        <f>IFERROR(VLOOKUP(D381, Sheet2!$A:$C, 3, FALSE), 0)</f>
        <v>6999.9999999999991</v>
      </c>
      <c r="G381" s="6">
        <f t="shared" si="5"/>
        <v>1434999.9999999998</v>
      </c>
    </row>
    <row r="382" spans="1:7" ht="17.25" x14ac:dyDescent="0.3">
      <c r="A382" s="23" t="s">
        <v>140</v>
      </c>
      <c r="B382" s="22" t="s">
        <v>21</v>
      </c>
      <c r="C382" s="4" t="s">
        <v>216</v>
      </c>
      <c r="D382" s="4" t="s">
        <v>84</v>
      </c>
      <c r="E382" s="7">
        <v>452</v>
      </c>
      <c r="F382" s="5">
        <f>IFERROR(VLOOKUP(D382, Sheet2!$A:$C, 3, FALSE), 0)</f>
        <v>2090.9090909090905</v>
      </c>
      <c r="G382" s="6">
        <f t="shared" si="5"/>
        <v>945090.90909090894</v>
      </c>
    </row>
    <row r="383" spans="1:7" ht="17.25" x14ac:dyDescent="0.3">
      <c r="A383" s="22" t="s">
        <v>140</v>
      </c>
      <c r="B383" s="22" t="s">
        <v>21</v>
      </c>
      <c r="C383" s="4" t="s">
        <v>339</v>
      </c>
      <c r="D383" s="9" t="s">
        <v>76</v>
      </c>
      <c r="E383" s="10">
        <v>368</v>
      </c>
      <c r="F383" s="5">
        <f>IFERROR(VLOOKUP(D383, Sheet2!$A:$C, 3, FALSE), 0)</f>
        <v>8636.363636363636</v>
      </c>
      <c r="G383" s="6">
        <f t="shared" si="5"/>
        <v>3178181.8181818179</v>
      </c>
    </row>
    <row r="384" spans="1:7" ht="17.25" x14ac:dyDescent="0.3">
      <c r="A384" s="23" t="s">
        <v>138</v>
      </c>
      <c r="B384" s="22" t="s">
        <v>11</v>
      </c>
      <c r="C384" s="4" t="s">
        <v>344</v>
      </c>
      <c r="D384" s="4" t="s">
        <v>120</v>
      </c>
      <c r="E384" s="7">
        <v>528</v>
      </c>
      <c r="F384" s="5">
        <f>IFERROR(VLOOKUP(D384, Sheet2!$A:$C, 3, FALSE), 0)</f>
        <v>6272.7272727272721</v>
      </c>
      <c r="G384" s="6">
        <f t="shared" si="5"/>
        <v>3311999.9999999995</v>
      </c>
    </row>
    <row r="385" spans="1:7" ht="17.25" x14ac:dyDescent="0.3">
      <c r="A385" s="23" t="s">
        <v>138</v>
      </c>
      <c r="B385" s="22" t="s">
        <v>48</v>
      </c>
      <c r="C385" s="4" t="s">
        <v>337</v>
      </c>
      <c r="D385" s="4" t="s">
        <v>13</v>
      </c>
      <c r="E385" s="7">
        <v>770</v>
      </c>
      <c r="F385" s="5">
        <f>IFERROR(VLOOKUP(D385, Sheet2!$A:$C, 3, FALSE), 0)</f>
        <v>18090.909090909088</v>
      </c>
      <c r="G385" s="6">
        <f t="shared" si="5"/>
        <v>13929999.999999998</v>
      </c>
    </row>
    <row r="386" spans="1:7" ht="17.25" x14ac:dyDescent="0.3">
      <c r="A386" s="23" t="s">
        <v>138</v>
      </c>
      <c r="B386" s="22" t="s">
        <v>25</v>
      </c>
      <c r="C386" s="4" t="s">
        <v>344</v>
      </c>
      <c r="D386" s="4" t="s">
        <v>15</v>
      </c>
      <c r="E386" s="7">
        <v>352</v>
      </c>
      <c r="F386" s="5">
        <f>IFERROR(VLOOKUP(D386, Sheet2!$A:$C, 3, FALSE), 0)</f>
        <v>3863.6363636363635</v>
      </c>
      <c r="G386" s="6">
        <f t="shared" si="5"/>
        <v>1360000</v>
      </c>
    </row>
    <row r="387" spans="1:7" ht="17.25" x14ac:dyDescent="0.3">
      <c r="A387" s="23" t="s">
        <v>138</v>
      </c>
      <c r="B387" s="22" t="s">
        <v>29</v>
      </c>
      <c r="C387" s="4" t="s">
        <v>344</v>
      </c>
      <c r="D387" s="4" t="s">
        <v>52</v>
      </c>
      <c r="E387" s="7">
        <v>208</v>
      </c>
      <c r="F387" s="5">
        <f>IFERROR(VLOOKUP(D387, Sheet2!$A:$C, 3, FALSE), 0)</f>
        <v>5999.9999999999991</v>
      </c>
      <c r="G387" s="6">
        <f t="shared" ref="G387:G411" si="6">E387*F387</f>
        <v>1247999.9999999998</v>
      </c>
    </row>
    <row r="388" spans="1:7" ht="17.25" x14ac:dyDescent="0.3">
      <c r="A388" s="23" t="s">
        <v>138</v>
      </c>
      <c r="B388" s="22" t="s">
        <v>27</v>
      </c>
      <c r="C388" s="4" t="s">
        <v>344</v>
      </c>
      <c r="D388" s="4" t="s">
        <v>52</v>
      </c>
      <c r="E388" s="7">
        <v>234</v>
      </c>
      <c r="F388" s="5">
        <f>IFERROR(VLOOKUP(D388, Sheet2!$A:$C, 3, FALSE), 0)</f>
        <v>5999.9999999999991</v>
      </c>
      <c r="G388" s="6">
        <f t="shared" si="6"/>
        <v>1403999.9999999998</v>
      </c>
    </row>
    <row r="389" spans="1:7" ht="17.25" x14ac:dyDescent="0.3">
      <c r="A389" s="23" t="s">
        <v>138</v>
      </c>
      <c r="B389" s="22" t="s">
        <v>46</v>
      </c>
      <c r="C389" s="4" t="s">
        <v>337</v>
      </c>
      <c r="D389" s="4" t="s">
        <v>6</v>
      </c>
      <c r="E389" s="7">
        <v>1917</v>
      </c>
      <c r="F389" s="5">
        <f>IFERROR(VLOOKUP(D389, Sheet2!$A:$C, 3, FALSE), 0)</f>
        <v>14999.999999999998</v>
      </c>
      <c r="G389" s="6">
        <f t="shared" si="6"/>
        <v>28754999.999999996</v>
      </c>
    </row>
    <row r="390" spans="1:7" ht="17.25" x14ac:dyDescent="0.3">
      <c r="A390" s="23" t="s">
        <v>138</v>
      </c>
      <c r="B390" s="22" t="s">
        <v>46</v>
      </c>
      <c r="C390" s="4" t="s">
        <v>342</v>
      </c>
      <c r="D390" s="4" t="s">
        <v>35</v>
      </c>
      <c r="E390" s="7">
        <v>643</v>
      </c>
      <c r="F390" s="5">
        <f>IFERROR(VLOOKUP(D390, Sheet2!$A:$C, 3, FALSE), 0)</f>
        <v>8363.6363636363621</v>
      </c>
      <c r="G390" s="6">
        <f t="shared" si="6"/>
        <v>5377818.1818181807</v>
      </c>
    </row>
    <row r="391" spans="1:7" ht="17.25" x14ac:dyDescent="0.3">
      <c r="A391" s="23" t="s">
        <v>138</v>
      </c>
      <c r="B391" s="22" t="s">
        <v>33</v>
      </c>
      <c r="C391" s="4" t="s">
        <v>344</v>
      </c>
      <c r="D391" s="4" t="s">
        <v>44</v>
      </c>
      <c r="E391" s="7">
        <v>134</v>
      </c>
      <c r="F391" s="5">
        <f>IFERROR(VLOOKUP(D391, Sheet2!$A:$C, 3, FALSE), 0)</f>
        <v>5909.090909090909</v>
      </c>
      <c r="G391" s="6">
        <f t="shared" si="6"/>
        <v>791818.18181818177</v>
      </c>
    </row>
    <row r="392" spans="1:7" ht="17.25" x14ac:dyDescent="0.3">
      <c r="A392" s="22" t="s">
        <v>137</v>
      </c>
      <c r="B392" s="22" t="s">
        <v>69</v>
      </c>
      <c r="C392" s="4" t="s">
        <v>343</v>
      </c>
      <c r="D392" s="4" t="s">
        <v>135</v>
      </c>
      <c r="E392" s="7">
        <v>522</v>
      </c>
      <c r="F392" s="5">
        <f>IFERROR(VLOOKUP(D392, Sheet2!$A:$C, 3, FALSE), 0)</f>
        <v>13999.999999999998</v>
      </c>
      <c r="G392" s="6">
        <f t="shared" si="6"/>
        <v>7307999.9999999991</v>
      </c>
    </row>
    <row r="393" spans="1:7" ht="17.25" x14ac:dyDescent="0.3">
      <c r="A393" s="22" t="s">
        <v>138</v>
      </c>
      <c r="B393" s="22" t="s">
        <v>43</v>
      </c>
      <c r="C393" s="4" t="s">
        <v>341</v>
      </c>
      <c r="D393" s="4" t="s">
        <v>110</v>
      </c>
      <c r="E393" s="7">
        <v>66</v>
      </c>
      <c r="F393" s="5">
        <f>IFERROR(VLOOKUP(D393, Sheet2!$A:$C, 3, FALSE), 0)</f>
        <v>2500</v>
      </c>
      <c r="G393" s="6">
        <f t="shared" si="6"/>
        <v>165000</v>
      </c>
    </row>
    <row r="394" spans="1:7" ht="17.25" x14ac:dyDescent="0.3">
      <c r="A394" s="23" t="s">
        <v>141</v>
      </c>
      <c r="B394" s="22" t="s">
        <v>60</v>
      </c>
      <c r="C394" s="4" t="s">
        <v>344</v>
      </c>
      <c r="D394" s="4" t="s">
        <v>32</v>
      </c>
      <c r="E394" s="7">
        <v>394</v>
      </c>
      <c r="F394" s="5">
        <f>IFERROR(VLOOKUP(D394, Sheet2!$A:$C, 3, FALSE), 0)</f>
        <v>4363.6363636363631</v>
      </c>
      <c r="G394" s="6">
        <f t="shared" si="6"/>
        <v>1719272.7272727271</v>
      </c>
    </row>
    <row r="395" spans="1:7" ht="17.25" x14ac:dyDescent="0.3">
      <c r="A395" s="23" t="s">
        <v>141</v>
      </c>
      <c r="B395" s="22" t="s">
        <v>75</v>
      </c>
      <c r="C395" s="4" t="s">
        <v>342</v>
      </c>
      <c r="D395" s="4" t="s">
        <v>61</v>
      </c>
      <c r="E395" s="7">
        <v>96</v>
      </c>
      <c r="F395" s="5">
        <f>IFERROR(VLOOKUP(D395, Sheet2!$A:$C, 3, FALSE), 0)</f>
        <v>7363.6363636363631</v>
      </c>
      <c r="G395" s="6">
        <f t="shared" si="6"/>
        <v>706909.09090909082</v>
      </c>
    </row>
    <row r="396" spans="1:7" ht="17.25" x14ac:dyDescent="0.3">
      <c r="A396" s="23" t="s">
        <v>141</v>
      </c>
      <c r="B396" s="22" t="s">
        <v>218</v>
      </c>
      <c r="C396" s="4" t="s">
        <v>339</v>
      </c>
      <c r="D396" s="4" t="s">
        <v>125</v>
      </c>
      <c r="E396" s="7">
        <v>190</v>
      </c>
      <c r="F396" s="5">
        <f>IFERROR(VLOOKUP(D396, Sheet2!$A:$C, 3, FALSE), 0)</f>
        <v>18090.909090909088</v>
      </c>
      <c r="G396" s="6">
        <f t="shared" si="6"/>
        <v>3437272.7272727266</v>
      </c>
    </row>
    <row r="397" spans="1:7" ht="17.25" x14ac:dyDescent="0.3">
      <c r="A397" s="22" t="s">
        <v>141</v>
      </c>
      <c r="B397" s="22" t="s">
        <v>24</v>
      </c>
      <c r="C397" s="4" t="s">
        <v>338</v>
      </c>
      <c r="D397" s="4" t="s">
        <v>36</v>
      </c>
      <c r="E397" s="7">
        <v>169</v>
      </c>
      <c r="F397" s="5">
        <f>IFERROR(VLOOKUP(D397, Sheet2!$A:$C, 3, FALSE), 0)</f>
        <v>7899.9999999999991</v>
      </c>
      <c r="G397" s="6">
        <f t="shared" si="6"/>
        <v>1335099.9999999998</v>
      </c>
    </row>
    <row r="398" spans="1:7" ht="17.25" x14ac:dyDescent="0.3">
      <c r="A398" s="23" t="s">
        <v>142</v>
      </c>
      <c r="B398" s="22" t="s">
        <v>11</v>
      </c>
      <c r="C398" s="4" t="s">
        <v>344</v>
      </c>
      <c r="D398" s="4" t="s">
        <v>15</v>
      </c>
      <c r="E398" s="7">
        <v>199</v>
      </c>
      <c r="F398" s="5">
        <f>IFERROR(VLOOKUP(D398, Sheet2!$A:$C, 3, FALSE), 0)</f>
        <v>3863.6363636363635</v>
      </c>
      <c r="G398" s="6">
        <f t="shared" si="6"/>
        <v>768863.63636363635</v>
      </c>
    </row>
    <row r="399" spans="1:7" ht="17.25" x14ac:dyDescent="0.3">
      <c r="A399" s="23" t="s">
        <v>142</v>
      </c>
      <c r="B399" s="22" t="s">
        <v>8</v>
      </c>
      <c r="C399" s="4" t="s">
        <v>338</v>
      </c>
      <c r="D399" s="4" t="s">
        <v>36</v>
      </c>
      <c r="E399" s="7">
        <v>172</v>
      </c>
      <c r="F399" s="5">
        <f>IFERROR(VLOOKUP(D399, Sheet2!$A:$C, 3, FALSE), 0)</f>
        <v>7899.9999999999991</v>
      </c>
      <c r="G399" s="6">
        <f t="shared" si="6"/>
        <v>1358799.9999999998</v>
      </c>
    </row>
    <row r="400" spans="1:7" ht="17.25" x14ac:dyDescent="0.3">
      <c r="A400" s="23" t="s">
        <v>142</v>
      </c>
      <c r="B400" s="22" t="s">
        <v>46</v>
      </c>
      <c r="C400" s="4" t="s">
        <v>215</v>
      </c>
      <c r="D400" s="4" t="s">
        <v>143</v>
      </c>
      <c r="E400" s="7">
        <v>369</v>
      </c>
      <c r="F400" s="5">
        <f>IFERROR(VLOOKUP(D400, Sheet2!$A:$C, 3, FALSE), 0)</f>
        <v>15454.545454545454</v>
      </c>
      <c r="G400" s="6">
        <f t="shared" si="6"/>
        <v>5702727.2727272725</v>
      </c>
    </row>
    <row r="401" spans="1:7" ht="17.25" x14ac:dyDescent="0.3">
      <c r="A401" s="23" t="s">
        <v>141</v>
      </c>
      <c r="B401" s="22" t="s">
        <v>60</v>
      </c>
      <c r="C401" s="4" t="s">
        <v>337</v>
      </c>
      <c r="D401" s="4" t="s">
        <v>113</v>
      </c>
      <c r="E401" s="7">
        <v>321</v>
      </c>
      <c r="F401" s="5">
        <f>IFERROR(VLOOKUP(D401, Sheet2!$A:$C, 3, FALSE), 0)</f>
        <v>20727.272727272724</v>
      </c>
      <c r="G401" s="6">
        <f t="shared" si="6"/>
        <v>6653454.5454545449</v>
      </c>
    </row>
    <row r="402" spans="1:7" ht="17.25" x14ac:dyDescent="0.3">
      <c r="A402" s="22" t="s">
        <v>142</v>
      </c>
      <c r="B402" s="22" t="s">
        <v>19</v>
      </c>
      <c r="C402" s="4" t="s">
        <v>344</v>
      </c>
      <c r="D402" s="9" t="s">
        <v>52</v>
      </c>
      <c r="E402" s="7">
        <v>251</v>
      </c>
      <c r="F402" s="5">
        <f>IFERROR(VLOOKUP(D402, Sheet2!$A:$C, 3, FALSE), 0)</f>
        <v>5999.9999999999991</v>
      </c>
      <c r="G402" s="6">
        <f t="shared" si="6"/>
        <v>1505999.9999999998</v>
      </c>
    </row>
    <row r="403" spans="1:7" ht="17.25" x14ac:dyDescent="0.3">
      <c r="A403" s="22" t="s">
        <v>142</v>
      </c>
      <c r="B403" s="22" t="s">
        <v>14</v>
      </c>
      <c r="C403" s="4" t="s">
        <v>344</v>
      </c>
      <c r="D403" s="4" t="s">
        <v>32</v>
      </c>
      <c r="E403" s="7">
        <v>519</v>
      </c>
      <c r="F403" s="5">
        <f>IFERROR(VLOOKUP(D403, Sheet2!$A:$C, 3, FALSE), 0)</f>
        <v>4363.6363636363631</v>
      </c>
      <c r="G403" s="6">
        <f t="shared" si="6"/>
        <v>2264727.2727272725</v>
      </c>
    </row>
    <row r="404" spans="1:7" ht="17.25" x14ac:dyDescent="0.3">
      <c r="A404" s="22" t="s">
        <v>142</v>
      </c>
      <c r="B404" s="22" t="s">
        <v>27</v>
      </c>
      <c r="C404" s="4" t="s">
        <v>344</v>
      </c>
      <c r="D404" s="4" t="s">
        <v>40</v>
      </c>
      <c r="E404" s="7">
        <v>541</v>
      </c>
      <c r="F404" s="5">
        <f>IFERROR(VLOOKUP(D404, Sheet2!$A:$C, 3, FALSE), 0)</f>
        <v>4363.6363636363631</v>
      </c>
      <c r="G404" s="6">
        <f t="shared" si="6"/>
        <v>2360727.2727272725</v>
      </c>
    </row>
    <row r="405" spans="1:7" ht="17.25" x14ac:dyDescent="0.3">
      <c r="A405" s="22" t="s">
        <v>142</v>
      </c>
      <c r="B405" s="22" t="s">
        <v>46</v>
      </c>
      <c r="C405" s="4" t="s">
        <v>344</v>
      </c>
      <c r="D405" s="4" t="s">
        <v>56</v>
      </c>
      <c r="E405" s="7">
        <v>376</v>
      </c>
      <c r="F405" s="5">
        <f>IFERROR(VLOOKUP(D405, Sheet2!$A:$C, 3, FALSE), 0)</f>
        <v>5545.454545454545</v>
      </c>
      <c r="G405" s="6">
        <f t="shared" si="6"/>
        <v>2085090.9090909089</v>
      </c>
    </row>
    <row r="406" spans="1:7" ht="17.25" x14ac:dyDescent="0.3">
      <c r="A406" s="22" t="s">
        <v>142</v>
      </c>
      <c r="B406" s="22" t="s">
        <v>29</v>
      </c>
      <c r="C406" s="4" t="s">
        <v>344</v>
      </c>
      <c r="D406" s="4" t="s">
        <v>40</v>
      </c>
      <c r="E406" s="7">
        <v>393</v>
      </c>
      <c r="F406" s="5">
        <f>IFERROR(VLOOKUP(D406, Sheet2!$A:$C, 3, FALSE), 0)</f>
        <v>4363.6363636363631</v>
      </c>
      <c r="G406" s="6">
        <f t="shared" si="6"/>
        <v>1714909.0909090906</v>
      </c>
    </row>
    <row r="407" spans="1:7" ht="17.25" x14ac:dyDescent="0.3">
      <c r="A407" s="22" t="s">
        <v>142</v>
      </c>
      <c r="B407" s="22" t="s">
        <v>51</v>
      </c>
      <c r="C407" s="4" t="s">
        <v>337</v>
      </c>
      <c r="D407" s="9" t="s">
        <v>144</v>
      </c>
      <c r="E407" s="10">
        <v>1140</v>
      </c>
      <c r="F407" s="5">
        <f>IFERROR(VLOOKUP(D407, Sheet2!$A:$C, 3, FALSE), 0)</f>
        <v>10272.727272727272</v>
      </c>
      <c r="G407" s="6">
        <f t="shared" si="6"/>
        <v>11710909.09090909</v>
      </c>
    </row>
    <row r="408" spans="1:7" ht="17.25" x14ac:dyDescent="0.3">
      <c r="A408" s="22" t="s">
        <v>142</v>
      </c>
      <c r="B408" s="22" t="s">
        <v>31</v>
      </c>
      <c r="C408" s="4" t="s">
        <v>339</v>
      </c>
      <c r="D408" s="9" t="s">
        <v>10</v>
      </c>
      <c r="E408" s="10">
        <v>907</v>
      </c>
      <c r="F408" s="5">
        <f>IFERROR(VLOOKUP(D408, Sheet2!$A:$C, 3, FALSE), 0)</f>
        <v>20818.181818181816</v>
      </c>
      <c r="G408" s="6">
        <f t="shared" si="6"/>
        <v>18882090.909090906</v>
      </c>
    </row>
    <row r="409" spans="1:7" ht="17.25" x14ac:dyDescent="0.3">
      <c r="A409" s="22" t="s">
        <v>141</v>
      </c>
      <c r="B409" s="22" t="s">
        <v>69</v>
      </c>
      <c r="C409" s="4" t="s">
        <v>338</v>
      </c>
      <c r="D409" s="9" t="s">
        <v>36</v>
      </c>
      <c r="E409" s="10">
        <v>923</v>
      </c>
      <c r="F409" s="5">
        <f>IFERROR(VLOOKUP(D409, Sheet2!$A:$C, 3, FALSE), 0)</f>
        <v>7899.9999999999991</v>
      </c>
      <c r="G409" s="6">
        <f t="shared" si="6"/>
        <v>7291699.9999999991</v>
      </c>
    </row>
    <row r="410" spans="1:7" ht="17.25" x14ac:dyDescent="0.3">
      <c r="A410" s="22" t="s">
        <v>141</v>
      </c>
      <c r="B410" s="22" t="s">
        <v>69</v>
      </c>
      <c r="C410" s="4" t="s">
        <v>343</v>
      </c>
      <c r="D410" s="9" t="s">
        <v>45</v>
      </c>
      <c r="E410" s="10">
        <v>1469</v>
      </c>
      <c r="F410" s="5">
        <f>IFERROR(VLOOKUP(D410, Sheet2!$A:$C, 3, FALSE), 0)</f>
        <v>10909.090909090908</v>
      </c>
      <c r="G410" s="6">
        <f t="shared" si="6"/>
        <v>16025454.545454543</v>
      </c>
    </row>
    <row r="411" spans="1:7" ht="17.25" x14ac:dyDescent="0.3">
      <c r="A411" s="22" t="s">
        <v>142</v>
      </c>
      <c r="B411" s="22" t="s">
        <v>219</v>
      </c>
      <c r="C411" s="4" t="s">
        <v>215</v>
      </c>
      <c r="D411" s="9" t="s">
        <v>217</v>
      </c>
      <c r="E411" s="10">
        <v>170</v>
      </c>
      <c r="F411" s="5">
        <f>IFERROR(VLOOKUP(D411, Sheet2!$A:$C, 3, FALSE), 0)</f>
        <v>10727.272727272726</v>
      </c>
      <c r="G411" s="6">
        <f t="shared" si="6"/>
        <v>1823636.3636363635</v>
      </c>
    </row>
    <row r="412" spans="1:7" ht="17.25" x14ac:dyDescent="0.3">
      <c r="A412" s="22" t="s">
        <v>146</v>
      </c>
      <c r="B412" s="22" t="s">
        <v>19</v>
      </c>
      <c r="C412" s="4" t="s">
        <v>216</v>
      </c>
      <c r="D412" s="4" t="s">
        <v>84</v>
      </c>
      <c r="E412" s="7">
        <v>194</v>
      </c>
      <c r="F412" s="5">
        <f>IFERROR(VLOOKUP(D412, Sheet2!$A:$C, 3, FALSE), 0)</f>
        <v>2090.9090909090905</v>
      </c>
      <c r="G412" s="6">
        <f t="shared" ref="G412:G475" si="7">E412*F412</f>
        <v>405636.36363636359</v>
      </c>
    </row>
    <row r="413" spans="1:7" ht="17.25" x14ac:dyDescent="0.3">
      <c r="A413" s="22" t="s">
        <v>146</v>
      </c>
      <c r="B413" s="22" t="s">
        <v>27</v>
      </c>
      <c r="C413" s="4" t="s">
        <v>337</v>
      </c>
      <c r="D413" s="4" t="s">
        <v>129</v>
      </c>
      <c r="E413" s="7">
        <v>569</v>
      </c>
      <c r="F413" s="5">
        <f>IFERROR(VLOOKUP(D413, Sheet2!$A:$C, 3, FALSE), 0)</f>
        <v>7199.9999999999991</v>
      </c>
      <c r="G413" s="6">
        <f t="shared" si="7"/>
        <v>4096799.9999999995</v>
      </c>
    </row>
    <row r="414" spans="1:7" ht="17.25" x14ac:dyDescent="0.3">
      <c r="A414" s="22" t="s">
        <v>146</v>
      </c>
      <c r="B414" s="22" t="s">
        <v>27</v>
      </c>
      <c r="C414" s="4" t="s">
        <v>341</v>
      </c>
      <c r="D414" s="4" t="s">
        <v>110</v>
      </c>
      <c r="E414" s="10">
        <v>540</v>
      </c>
      <c r="F414" s="5">
        <f>IFERROR(VLOOKUP(D414, Sheet2!$A:$C, 3, FALSE), 0)</f>
        <v>2500</v>
      </c>
      <c r="G414" s="6">
        <f t="shared" si="7"/>
        <v>1350000</v>
      </c>
    </row>
    <row r="415" spans="1:7" ht="17.25" x14ac:dyDescent="0.3">
      <c r="A415" s="22" t="s">
        <v>146</v>
      </c>
      <c r="B415" s="22" t="s">
        <v>102</v>
      </c>
      <c r="C415" s="4" t="s">
        <v>338</v>
      </c>
      <c r="D415" s="4" t="s">
        <v>36</v>
      </c>
      <c r="E415" s="7">
        <v>280</v>
      </c>
      <c r="F415" s="5">
        <f>IFERROR(VLOOKUP(D415, Sheet2!$A:$C, 3, FALSE), 0)</f>
        <v>7899.9999999999991</v>
      </c>
      <c r="G415" s="6">
        <f t="shared" si="7"/>
        <v>2211999.9999999995</v>
      </c>
    </row>
    <row r="416" spans="1:7" ht="17.25" x14ac:dyDescent="0.3">
      <c r="A416" s="22" t="s">
        <v>146</v>
      </c>
      <c r="B416" s="22" t="s">
        <v>46</v>
      </c>
      <c r="C416" s="4" t="s">
        <v>338</v>
      </c>
      <c r="D416" s="4" t="s">
        <v>28</v>
      </c>
      <c r="E416" s="7">
        <v>868</v>
      </c>
      <c r="F416" s="5">
        <f>IFERROR(VLOOKUP(D416, Sheet2!$A:$C, 3, FALSE), 0)</f>
        <v>7899.9999999999991</v>
      </c>
      <c r="G416" s="6">
        <f t="shared" si="7"/>
        <v>6857199.9999999991</v>
      </c>
    </row>
    <row r="417" spans="1:7" ht="17.25" x14ac:dyDescent="0.3">
      <c r="A417" s="22" t="s">
        <v>146</v>
      </c>
      <c r="B417" s="22" t="s">
        <v>29</v>
      </c>
      <c r="C417" s="4" t="s">
        <v>337</v>
      </c>
      <c r="D417" s="4" t="s">
        <v>129</v>
      </c>
      <c r="E417" s="7">
        <v>451</v>
      </c>
      <c r="F417" s="5">
        <f>IFERROR(VLOOKUP(D417, Sheet2!$A:$C, 3, FALSE), 0)</f>
        <v>7199.9999999999991</v>
      </c>
      <c r="G417" s="6">
        <f t="shared" si="7"/>
        <v>3247199.9999999995</v>
      </c>
    </row>
    <row r="418" spans="1:7" ht="17.25" x14ac:dyDescent="0.3">
      <c r="A418" s="22" t="s">
        <v>146</v>
      </c>
      <c r="B418" s="22" t="s">
        <v>29</v>
      </c>
      <c r="C418" s="4" t="s">
        <v>341</v>
      </c>
      <c r="D418" s="4" t="s">
        <v>110</v>
      </c>
      <c r="E418" s="7">
        <v>431</v>
      </c>
      <c r="F418" s="5">
        <f>IFERROR(VLOOKUP(D418, Sheet2!$A:$C, 3, FALSE), 0)</f>
        <v>2500</v>
      </c>
      <c r="G418" s="6">
        <f t="shared" si="7"/>
        <v>1077500</v>
      </c>
    </row>
    <row r="419" spans="1:7" ht="17.25" x14ac:dyDescent="0.3">
      <c r="A419" s="22" t="s">
        <v>146</v>
      </c>
      <c r="B419" s="22" t="s">
        <v>93</v>
      </c>
      <c r="C419" s="4" t="s">
        <v>338</v>
      </c>
      <c r="D419" s="4" t="s">
        <v>36</v>
      </c>
      <c r="E419" s="7">
        <v>816</v>
      </c>
      <c r="F419" s="5">
        <f>IFERROR(VLOOKUP(D419, Sheet2!$A:$C, 3, FALSE), 0)</f>
        <v>7899.9999999999991</v>
      </c>
      <c r="G419" s="6">
        <f t="shared" si="7"/>
        <v>6446399.9999999991</v>
      </c>
    </row>
    <row r="420" spans="1:7" ht="17.25" x14ac:dyDescent="0.3">
      <c r="A420" s="22" t="s">
        <v>146</v>
      </c>
      <c r="B420" s="22" t="s">
        <v>95</v>
      </c>
      <c r="C420" s="4" t="s">
        <v>338</v>
      </c>
      <c r="D420" s="9" t="s">
        <v>36</v>
      </c>
      <c r="E420" s="10">
        <v>567</v>
      </c>
      <c r="F420" s="5">
        <f>IFERROR(VLOOKUP(D420, Sheet2!$A:$C, 3, FALSE), 0)</f>
        <v>7899.9999999999991</v>
      </c>
      <c r="G420" s="6">
        <f t="shared" si="7"/>
        <v>4479299.9999999991</v>
      </c>
    </row>
    <row r="421" spans="1:7" ht="17.25" x14ac:dyDescent="0.3">
      <c r="A421" s="22" t="s">
        <v>146</v>
      </c>
      <c r="B421" s="22" t="s">
        <v>145</v>
      </c>
      <c r="C421" s="4" t="s">
        <v>340</v>
      </c>
      <c r="D421" s="4" t="s">
        <v>49</v>
      </c>
      <c r="E421" s="7">
        <v>83</v>
      </c>
      <c r="F421" s="5">
        <f>IFERROR(VLOOKUP(D421, Sheet2!$A:$C, 3, FALSE), 0)</f>
        <v>38000</v>
      </c>
      <c r="G421" s="6">
        <f t="shared" si="7"/>
        <v>3154000</v>
      </c>
    </row>
    <row r="422" spans="1:7" ht="17.25" x14ac:dyDescent="0.3">
      <c r="A422" s="22" t="s">
        <v>146</v>
      </c>
      <c r="B422" s="22" t="s">
        <v>145</v>
      </c>
      <c r="C422" s="4" t="s">
        <v>339</v>
      </c>
      <c r="D422" s="9" t="s">
        <v>97</v>
      </c>
      <c r="E422" s="10">
        <v>255</v>
      </c>
      <c r="F422" s="5">
        <f>IFERROR(VLOOKUP(D422, Sheet2!$A:$C, 3, FALSE), 0)</f>
        <v>17181.81818181818</v>
      </c>
      <c r="G422" s="6">
        <f t="shared" si="7"/>
        <v>4381363.6363636358</v>
      </c>
    </row>
    <row r="423" spans="1:7" ht="17.25" x14ac:dyDescent="0.3">
      <c r="A423" s="22" t="s">
        <v>146</v>
      </c>
      <c r="B423" s="22" t="s">
        <v>31</v>
      </c>
      <c r="C423" s="4" t="s">
        <v>216</v>
      </c>
      <c r="D423" s="9" t="s">
        <v>37</v>
      </c>
      <c r="E423" s="10">
        <v>694</v>
      </c>
      <c r="F423" s="5">
        <f>IFERROR(VLOOKUP(D423, Sheet2!$A:$C, 3, FALSE), 0)</f>
        <v>6799.9999999999991</v>
      </c>
      <c r="G423" s="6">
        <f t="shared" si="7"/>
        <v>4719199.9999999991</v>
      </c>
    </row>
    <row r="424" spans="1:7" ht="17.25" x14ac:dyDescent="0.3">
      <c r="A424" s="22" t="s">
        <v>146</v>
      </c>
      <c r="B424" s="22" t="s">
        <v>69</v>
      </c>
      <c r="C424" s="4" t="s">
        <v>338</v>
      </c>
      <c r="D424" s="4" t="s">
        <v>36</v>
      </c>
      <c r="E424" s="7">
        <v>781</v>
      </c>
      <c r="F424" s="5">
        <f>IFERROR(VLOOKUP(D424, Sheet2!$A:$C, 3, FALSE), 0)</f>
        <v>7899.9999999999991</v>
      </c>
      <c r="G424" s="6">
        <f t="shared" si="7"/>
        <v>6169899.9999999991</v>
      </c>
    </row>
    <row r="425" spans="1:7" ht="17.25" x14ac:dyDescent="0.3">
      <c r="A425" s="22" t="s">
        <v>146</v>
      </c>
      <c r="B425" s="22" t="s">
        <v>23</v>
      </c>
      <c r="C425" s="4" t="s">
        <v>340</v>
      </c>
      <c r="D425" s="4" t="s">
        <v>49</v>
      </c>
      <c r="E425" s="7">
        <v>240</v>
      </c>
      <c r="F425" s="5">
        <f>IFERROR(VLOOKUP(D425, Sheet2!$A:$C, 3, FALSE), 0)</f>
        <v>38000</v>
      </c>
      <c r="G425" s="6">
        <f t="shared" si="7"/>
        <v>9120000</v>
      </c>
    </row>
    <row r="426" spans="1:7" ht="17.25" x14ac:dyDescent="0.3">
      <c r="A426" s="23" t="s">
        <v>147</v>
      </c>
      <c r="B426" s="22" t="s">
        <v>19</v>
      </c>
      <c r="C426" s="4" t="s">
        <v>337</v>
      </c>
      <c r="D426" s="4" t="s">
        <v>94</v>
      </c>
      <c r="E426" s="7">
        <v>628</v>
      </c>
      <c r="F426" s="5">
        <f>IFERROR(VLOOKUP(D426, Sheet2!$A:$C, 3, FALSE), 0)</f>
        <v>14181.81818181818</v>
      </c>
      <c r="G426" s="6">
        <f t="shared" si="7"/>
        <v>8906181.8181818165</v>
      </c>
    </row>
    <row r="427" spans="1:7" ht="17.25" x14ac:dyDescent="0.3">
      <c r="A427" s="23" t="s">
        <v>147</v>
      </c>
      <c r="B427" s="22" t="s">
        <v>14</v>
      </c>
      <c r="C427" s="4" t="s">
        <v>344</v>
      </c>
      <c r="D427" s="4" t="s">
        <v>22</v>
      </c>
      <c r="E427" s="7">
        <v>403</v>
      </c>
      <c r="F427" s="5">
        <f>IFERROR(VLOOKUP(D427, Sheet2!$A:$C, 3, FALSE), 0)</f>
        <v>5999.9999999999991</v>
      </c>
      <c r="G427" s="6">
        <f t="shared" si="7"/>
        <v>2417999.9999999995</v>
      </c>
    </row>
    <row r="428" spans="1:7" ht="17.25" x14ac:dyDescent="0.3">
      <c r="A428" s="22" t="s">
        <v>147</v>
      </c>
      <c r="B428" s="22" t="s">
        <v>41</v>
      </c>
      <c r="C428" s="4" t="s">
        <v>341</v>
      </c>
      <c r="D428" s="4" t="s">
        <v>17</v>
      </c>
      <c r="E428" s="7">
        <v>151</v>
      </c>
      <c r="F428" s="5">
        <f>IFERROR(VLOOKUP(D428, Sheet2!$A:$C, 3, FALSE), 0)</f>
        <v>11700</v>
      </c>
      <c r="G428" s="6">
        <f t="shared" si="7"/>
        <v>1766700</v>
      </c>
    </row>
    <row r="429" spans="1:7" ht="17.25" x14ac:dyDescent="0.3">
      <c r="A429" s="22" t="s">
        <v>147</v>
      </c>
      <c r="B429" s="22" t="s">
        <v>33</v>
      </c>
      <c r="C429" s="4" t="s">
        <v>337</v>
      </c>
      <c r="D429" s="4" t="s">
        <v>9</v>
      </c>
      <c r="E429" s="7">
        <v>905</v>
      </c>
      <c r="F429" s="5">
        <f>IFERROR(VLOOKUP(D429, Sheet2!$A:$C, 3, FALSE), 0)</f>
        <v>18636.363636363636</v>
      </c>
      <c r="G429" s="6">
        <f t="shared" si="7"/>
        <v>16865909.09090909</v>
      </c>
    </row>
    <row r="430" spans="1:7" ht="17.25" x14ac:dyDescent="0.3">
      <c r="A430" s="22" t="s">
        <v>147</v>
      </c>
      <c r="B430" s="22" t="s">
        <v>33</v>
      </c>
      <c r="C430" s="4" t="s">
        <v>342</v>
      </c>
      <c r="D430" s="4" t="s">
        <v>35</v>
      </c>
      <c r="E430" s="7">
        <v>163</v>
      </c>
      <c r="F430" s="5">
        <f>IFERROR(VLOOKUP(D430, Sheet2!$A:$C, 3, FALSE), 0)</f>
        <v>8363.6363636363621</v>
      </c>
      <c r="G430" s="6">
        <f t="shared" si="7"/>
        <v>1363272.7272727271</v>
      </c>
    </row>
    <row r="431" spans="1:7" ht="17.25" x14ac:dyDescent="0.3">
      <c r="A431" s="22" t="s">
        <v>147</v>
      </c>
      <c r="B431" s="22" t="s">
        <v>33</v>
      </c>
      <c r="C431" s="4" t="s">
        <v>344</v>
      </c>
      <c r="D431" s="4" t="s">
        <v>56</v>
      </c>
      <c r="E431" s="7">
        <v>146</v>
      </c>
      <c r="F431" s="5">
        <f>IFERROR(VLOOKUP(D431, Sheet2!$A:$C, 3, FALSE), 0)</f>
        <v>5545.454545454545</v>
      </c>
      <c r="G431" s="6">
        <f t="shared" si="7"/>
        <v>809636.36363636353</v>
      </c>
    </row>
    <row r="432" spans="1:7" ht="17.25" x14ac:dyDescent="0.3">
      <c r="A432" s="23" t="s">
        <v>148</v>
      </c>
      <c r="B432" s="22" t="s">
        <v>27</v>
      </c>
      <c r="C432" s="4" t="s">
        <v>341</v>
      </c>
      <c r="D432" s="4" t="s">
        <v>110</v>
      </c>
      <c r="E432" s="7">
        <v>622</v>
      </c>
      <c r="F432" s="5">
        <f>IFERROR(VLOOKUP(D432, Sheet2!$A:$C, 3, FALSE), 0)</f>
        <v>2500</v>
      </c>
      <c r="G432" s="6">
        <f t="shared" si="7"/>
        <v>1555000</v>
      </c>
    </row>
    <row r="433" spans="1:7" ht="17.25" x14ac:dyDescent="0.3">
      <c r="A433" s="22" t="s">
        <v>148</v>
      </c>
      <c r="B433" s="22" t="s">
        <v>23</v>
      </c>
      <c r="C433" s="4" t="s">
        <v>342</v>
      </c>
      <c r="D433" s="4" t="s">
        <v>61</v>
      </c>
      <c r="E433" s="7">
        <v>76</v>
      </c>
      <c r="F433" s="5">
        <f>IFERROR(VLOOKUP(D433, Sheet2!$A:$C, 3, FALSE), 0)</f>
        <v>7363.6363636363631</v>
      </c>
      <c r="G433" s="6">
        <f t="shared" si="7"/>
        <v>559636.36363636365</v>
      </c>
    </row>
    <row r="434" spans="1:7" ht="17.25" x14ac:dyDescent="0.3">
      <c r="A434" s="22" t="s">
        <v>148</v>
      </c>
      <c r="B434" s="22" t="s">
        <v>23</v>
      </c>
      <c r="C434" s="4" t="s">
        <v>342</v>
      </c>
      <c r="D434" s="4" t="s">
        <v>61</v>
      </c>
      <c r="E434" s="7">
        <v>74</v>
      </c>
      <c r="F434" s="5">
        <f>IFERROR(VLOOKUP(D434, Sheet2!$A:$C, 3, FALSE), 0)</f>
        <v>7363.6363636363631</v>
      </c>
      <c r="G434" s="6">
        <f t="shared" si="7"/>
        <v>544909.09090909082</v>
      </c>
    </row>
    <row r="435" spans="1:7" ht="17.25" x14ac:dyDescent="0.3">
      <c r="A435" s="22" t="s">
        <v>148</v>
      </c>
      <c r="B435" s="22" t="s">
        <v>29</v>
      </c>
      <c r="C435" s="4" t="s">
        <v>341</v>
      </c>
      <c r="D435" s="4" t="s">
        <v>110</v>
      </c>
      <c r="E435" s="7">
        <v>490</v>
      </c>
      <c r="F435" s="5">
        <f>IFERROR(VLOOKUP(D435, Sheet2!$A:$C, 3, FALSE), 0)</f>
        <v>2500</v>
      </c>
      <c r="G435" s="6">
        <f t="shared" si="7"/>
        <v>1225000</v>
      </c>
    </row>
    <row r="436" spans="1:7" ht="17.25" x14ac:dyDescent="0.3">
      <c r="A436" s="23" t="s">
        <v>148</v>
      </c>
      <c r="B436" s="22" t="s">
        <v>30</v>
      </c>
      <c r="C436" s="4" t="s">
        <v>339</v>
      </c>
      <c r="D436" s="4" t="s">
        <v>108</v>
      </c>
      <c r="E436" s="7">
        <v>964</v>
      </c>
      <c r="F436" s="5">
        <f>IFERROR(VLOOKUP(D436, Sheet2!$A:$C, 3, FALSE), 0)</f>
        <v>12272.727272727272</v>
      </c>
      <c r="G436" s="6">
        <f t="shared" si="7"/>
        <v>11830909.09090909</v>
      </c>
    </row>
    <row r="437" spans="1:7" ht="17.25" x14ac:dyDescent="0.3">
      <c r="A437" s="23" t="s">
        <v>148</v>
      </c>
      <c r="B437" s="22" t="s">
        <v>30</v>
      </c>
      <c r="C437" s="4" t="s">
        <v>339</v>
      </c>
      <c r="D437" s="4" t="s">
        <v>117</v>
      </c>
      <c r="E437" s="7">
        <v>928</v>
      </c>
      <c r="F437" s="5">
        <f>IFERROR(VLOOKUP(D437, Sheet2!$A:$C, 3, FALSE), 0)</f>
        <v>11363.636363636362</v>
      </c>
      <c r="G437" s="6">
        <f t="shared" si="7"/>
        <v>10545454.545454545</v>
      </c>
    </row>
    <row r="438" spans="1:7" ht="17.25" x14ac:dyDescent="0.3">
      <c r="A438" s="22" t="s">
        <v>148</v>
      </c>
      <c r="B438" s="22" t="s">
        <v>24</v>
      </c>
      <c r="C438" s="4" t="s">
        <v>338</v>
      </c>
      <c r="D438" s="4" t="s">
        <v>36</v>
      </c>
      <c r="E438" s="7">
        <v>322</v>
      </c>
      <c r="F438" s="5">
        <f>IFERROR(VLOOKUP(D438, Sheet2!$A:$C, 3, FALSE), 0)</f>
        <v>7899.9999999999991</v>
      </c>
      <c r="G438" s="6">
        <f t="shared" si="7"/>
        <v>2543799.9999999995</v>
      </c>
    </row>
    <row r="439" spans="1:7" ht="17.25" x14ac:dyDescent="0.3">
      <c r="A439" s="22" t="s">
        <v>149</v>
      </c>
      <c r="B439" s="22" t="s">
        <v>43</v>
      </c>
      <c r="C439" s="4" t="s">
        <v>344</v>
      </c>
      <c r="D439" s="4" t="s">
        <v>22</v>
      </c>
      <c r="E439" s="7">
        <v>67</v>
      </c>
      <c r="F439" s="5">
        <f>IFERROR(VLOOKUP(D439, Sheet2!$A:$C, 3, FALSE), 0)</f>
        <v>5999.9999999999991</v>
      </c>
      <c r="G439" s="6">
        <f t="shared" si="7"/>
        <v>401999.99999999994</v>
      </c>
    </row>
    <row r="440" spans="1:7" ht="17.25" x14ac:dyDescent="0.3">
      <c r="A440" s="22" t="s">
        <v>149</v>
      </c>
      <c r="B440" s="22" t="s">
        <v>150</v>
      </c>
      <c r="C440" s="4" t="s">
        <v>344</v>
      </c>
      <c r="D440" s="4" t="s">
        <v>151</v>
      </c>
      <c r="E440" s="7">
        <v>50</v>
      </c>
      <c r="F440" s="5">
        <f>IFERROR(VLOOKUP(D440, Sheet2!$A:$C, 3, FALSE), 0)</f>
        <v>727.27272727272725</v>
      </c>
      <c r="G440" s="6">
        <f t="shared" si="7"/>
        <v>36363.63636363636</v>
      </c>
    </row>
    <row r="441" spans="1:7" ht="17.25" x14ac:dyDescent="0.3">
      <c r="A441" s="23" t="s">
        <v>152</v>
      </c>
      <c r="B441" s="22" t="s">
        <v>63</v>
      </c>
      <c r="C441" s="4" t="s">
        <v>338</v>
      </c>
      <c r="D441" s="4" t="s">
        <v>36</v>
      </c>
      <c r="E441" s="7">
        <v>658</v>
      </c>
      <c r="F441" s="5">
        <f>IFERROR(VLOOKUP(D441, Sheet2!$A:$C, 3, FALSE), 0)</f>
        <v>7899.9999999999991</v>
      </c>
      <c r="G441" s="6">
        <f t="shared" si="7"/>
        <v>5198199.9999999991</v>
      </c>
    </row>
    <row r="442" spans="1:7" ht="17.25" x14ac:dyDescent="0.3">
      <c r="A442" s="23" t="s">
        <v>152</v>
      </c>
      <c r="B442" s="22" t="s">
        <v>19</v>
      </c>
      <c r="C442" s="4" t="s">
        <v>216</v>
      </c>
      <c r="D442" s="4" t="s">
        <v>84</v>
      </c>
      <c r="E442" s="7">
        <v>363</v>
      </c>
      <c r="F442" s="5">
        <f>IFERROR(VLOOKUP(D442, Sheet2!$A:$C, 3, FALSE), 0)</f>
        <v>2090.9090909090905</v>
      </c>
      <c r="G442" s="6">
        <f t="shared" si="7"/>
        <v>758999.99999999988</v>
      </c>
    </row>
    <row r="443" spans="1:7" ht="17.25" x14ac:dyDescent="0.3">
      <c r="A443" s="22" t="s">
        <v>152</v>
      </c>
      <c r="B443" s="22" t="s">
        <v>23</v>
      </c>
      <c r="C443" s="4" t="s">
        <v>342</v>
      </c>
      <c r="D443" s="4" t="s">
        <v>61</v>
      </c>
      <c r="E443" s="7">
        <v>89</v>
      </c>
      <c r="F443" s="5">
        <f>IFERROR(VLOOKUP(D443, Sheet2!$A:$C, 3, FALSE), 0)</f>
        <v>7363.6363636363631</v>
      </c>
      <c r="G443" s="6">
        <f t="shared" si="7"/>
        <v>655363.63636363635</v>
      </c>
    </row>
    <row r="444" spans="1:7" ht="17.25" x14ac:dyDescent="0.3">
      <c r="A444" s="22" t="s">
        <v>152</v>
      </c>
      <c r="B444" s="22" t="s">
        <v>93</v>
      </c>
      <c r="C444" s="4" t="s">
        <v>337</v>
      </c>
      <c r="D444" s="4" t="s">
        <v>113</v>
      </c>
      <c r="E444" s="7">
        <v>1194</v>
      </c>
      <c r="F444" s="5">
        <f>IFERROR(VLOOKUP(D444, Sheet2!$A:$C, 3, FALSE), 0)</f>
        <v>20727.272727272724</v>
      </c>
      <c r="G444" s="6">
        <f t="shared" si="7"/>
        <v>24748363.636363633</v>
      </c>
    </row>
    <row r="445" spans="1:7" ht="17.25" x14ac:dyDescent="0.3">
      <c r="A445" s="22" t="s">
        <v>152</v>
      </c>
      <c r="B445" s="22" t="s">
        <v>95</v>
      </c>
      <c r="C445" s="4" t="s">
        <v>337</v>
      </c>
      <c r="D445" s="4" t="s">
        <v>113</v>
      </c>
      <c r="E445" s="7">
        <v>706</v>
      </c>
      <c r="F445" s="5">
        <f>IFERROR(VLOOKUP(D445, Sheet2!$A:$C, 3, FALSE), 0)</f>
        <v>20727.272727272724</v>
      </c>
      <c r="G445" s="6">
        <f t="shared" si="7"/>
        <v>14633454.545454543</v>
      </c>
    </row>
    <row r="446" spans="1:7" ht="17.25" x14ac:dyDescent="0.3">
      <c r="A446" s="22" t="s">
        <v>152</v>
      </c>
      <c r="B446" s="22" t="s">
        <v>41</v>
      </c>
      <c r="C446" s="4" t="s">
        <v>341</v>
      </c>
      <c r="D446" s="4" t="s">
        <v>17</v>
      </c>
      <c r="E446" s="7">
        <v>261</v>
      </c>
      <c r="F446" s="5">
        <f>IFERROR(VLOOKUP(D446, Sheet2!$A:$C, 3, FALSE), 0)</f>
        <v>11700</v>
      </c>
      <c r="G446" s="6">
        <f t="shared" si="7"/>
        <v>3053700</v>
      </c>
    </row>
    <row r="447" spans="1:7" ht="17.25" x14ac:dyDescent="0.3">
      <c r="A447" s="22" t="s">
        <v>152</v>
      </c>
      <c r="B447" s="22" t="s">
        <v>25</v>
      </c>
      <c r="C447" s="4" t="s">
        <v>344</v>
      </c>
      <c r="D447" s="4" t="s">
        <v>59</v>
      </c>
      <c r="E447" s="7">
        <v>183</v>
      </c>
      <c r="F447" s="5">
        <f>IFERROR(VLOOKUP(D447, Sheet2!$A:$C, 3, FALSE), 0)</f>
        <v>4681.8181818181811</v>
      </c>
      <c r="G447" s="6">
        <f t="shared" si="7"/>
        <v>856772.72727272718</v>
      </c>
    </row>
    <row r="448" spans="1:7" ht="17.25" x14ac:dyDescent="0.3">
      <c r="A448" s="22" t="s">
        <v>152</v>
      </c>
      <c r="B448" s="22" t="s">
        <v>31</v>
      </c>
      <c r="C448" s="4" t="s">
        <v>344</v>
      </c>
      <c r="D448" s="4" t="s">
        <v>32</v>
      </c>
      <c r="E448" s="7">
        <v>659</v>
      </c>
      <c r="F448" s="5">
        <f>IFERROR(VLOOKUP(D448, Sheet2!$A:$C, 3, FALSE), 0)</f>
        <v>4363.6363636363631</v>
      </c>
      <c r="G448" s="6">
        <f t="shared" si="7"/>
        <v>2875636.3636363633</v>
      </c>
    </row>
    <row r="449" spans="1:7" ht="17.25" x14ac:dyDescent="0.3">
      <c r="A449" s="23" t="s">
        <v>153</v>
      </c>
      <c r="B449" s="22" t="s">
        <v>75</v>
      </c>
      <c r="C449" s="4" t="s">
        <v>342</v>
      </c>
      <c r="D449" s="3" t="s">
        <v>61</v>
      </c>
      <c r="E449" s="7">
        <v>93</v>
      </c>
      <c r="F449" s="5">
        <f>IFERROR(VLOOKUP(D449, Sheet2!$A:$C, 3, FALSE), 0)</f>
        <v>7363.6363636363631</v>
      </c>
      <c r="G449" s="6">
        <f t="shared" si="7"/>
        <v>684818.18181818177</v>
      </c>
    </row>
    <row r="450" spans="1:7" ht="17.25" x14ac:dyDescent="0.3">
      <c r="A450" s="23" t="s">
        <v>153</v>
      </c>
      <c r="B450" s="22" t="s">
        <v>48</v>
      </c>
      <c r="C450" s="4" t="s">
        <v>344</v>
      </c>
      <c r="D450" s="4" t="s">
        <v>52</v>
      </c>
      <c r="E450" s="7">
        <v>141</v>
      </c>
      <c r="F450" s="5">
        <f>IFERROR(VLOOKUP(D450, Sheet2!$A:$C, 3, FALSE), 0)</f>
        <v>5999.9999999999991</v>
      </c>
      <c r="G450" s="6">
        <f t="shared" si="7"/>
        <v>845999.99999999988</v>
      </c>
    </row>
    <row r="451" spans="1:7" ht="17.25" x14ac:dyDescent="0.3">
      <c r="A451" s="23" t="s">
        <v>153</v>
      </c>
      <c r="B451" s="22" t="s">
        <v>63</v>
      </c>
      <c r="C451" s="4" t="s">
        <v>339</v>
      </c>
      <c r="D451" s="4" t="s">
        <v>97</v>
      </c>
      <c r="E451" s="7">
        <v>326</v>
      </c>
      <c r="F451" s="5">
        <f>IFERROR(VLOOKUP(D451, Sheet2!$A:$C, 3, FALSE), 0)</f>
        <v>17181.81818181818</v>
      </c>
      <c r="G451" s="6">
        <f t="shared" si="7"/>
        <v>5601272.7272727266</v>
      </c>
    </row>
    <row r="452" spans="1:7" ht="17.25" x14ac:dyDescent="0.3">
      <c r="A452" s="23" t="s">
        <v>153</v>
      </c>
      <c r="B452" s="22" t="s">
        <v>27</v>
      </c>
      <c r="C452" s="4" t="s">
        <v>341</v>
      </c>
      <c r="D452" s="4" t="s">
        <v>68</v>
      </c>
      <c r="E452" s="7">
        <v>235</v>
      </c>
      <c r="F452" s="5">
        <f>IFERROR(VLOOKUP(D452, Sheet2!$A:$C, 3, FALSE), 0)</f>
        <v>13400</v>
      </c>
      <c r="G452" s="6">
        <f t="shared" si="7"/>
        <v>3149000</v>
      </c>
    </row>
    <row r="453" spans="1:7" ht="17.25" x14ac:dyDescent="0.3">
      <c r="A453" s="23" t="s">
        <v>153</v>
      </c>
      <c r="B453" s="22" t="s">
        <v>27</v>
      </c>
      <c r="C453" s="4" t="s">
        <v>341</v>
      </c>
      <c r="D453" s="4" t="s">
        <v>110</v>
      </c>
      <c r="E453" s="7">
        <v>238</v>
      </c>
      <c r="F453" s="5">
        <f>IFERROR(VLOOKUP(D453, Sheet2!$A:$C, 3, FALSE), 0)</f>
        <v>2500</v>
      </c>
      <c r="G453" s="6">
        <f t="shared" si="7"/>
        <v>595000</v>
      </c>
    </row>
    <row r="454" spans="1:7" ht="17.25" x14ac:dyDescent="0.3">
      <c r="A454" s="22" t="s">
        <v>153</v>
      </c>
      <c r="B454" s="22" t="s">
        <v>29</v>
      </c>
      <c r="C454" s="4" t="s">
        <v>341</v>
      </c>
      <c r="D454" s="4" t="s">
        <v>68</v>
      </c>
      <c r="E454" s="7">
        <v>191</v>
      </c>
      <c r="F454" s="5">
        <f>IFERROR(VLOOKUP(D454, Sheet2!$A:$C, 3, FALSE), 0)</f>
        <v>13400</v>
      </c>
      <c r="G454" s="6">
        <f t="shared" si="7"/>
        <v>2559400</v>
      </c>
    </row>
    <row r="455" spans="1:7" ht="17.25" x14ac:dyDescent="0.3">
      <c r="A455" s="22" t="s">
        <v>153</v>
      </c>
      <c r="B455" s="22" t="s">
        <v>29</v>
      </c>
      <c r="C455" s="4" t="s">
        <v>341</v>
      </c>
      <c r="D455" s="4" t="s">
        <v>110</v>
      </c>
      <c r="E455" s="7">
        <v>199</v>
      </c>
      <c r="F455" s="5">
        <f>IFERROR(VLOOKUP(D455, Sheet2!$A:$C, 3, FALSE), 0)</f>
        <v>2500</v>
      </c>
      <c r="G455" s="6">
        <f t="shared" si="7"/>
        <v>497500</v>
      </c>
    </row>
    <row r="456" spans="1:7" ht="17.25" x14ac:dyDescent="0.3">
      <c r="A456" s="22" t="s">
        <v>153</v>
      </c>
      <c r="B456" s="22" t="s">
        <v>24</v>
      </c>
      <c r="C456" s="4" t="s">
        <v>344</v>
      </c>
      <c r="D456" s="9" t="s">
        <v>154</v>
      </c>
      <c r="E456" s="10">
        <v>435</v>
      </c>
      <c r="F456" s="5">
        <f>IFERROR(VLOOKUP(D456, Sheet2!$A:$C, 3, FALSE), 0)</f>
        <v>2999.9999999999995</v>
      </c>
      <c r="G456" s="6">
        <f t="shared" si="7"/>
        <v>1304999.9999999998</v>
      </c>
    </row>
    <row r="457" spans="1:7" ht="17.25" x14ac:dyDescent="0.3">
      <c r="A457" s="22" t="s">
        <v>153</v>
      </c>
      <c r="B457" s="22" t="s">
        <v>24</v>
      </c>
      <c r="C457" s="4" t="s">
        <v>341</v>
      </c>
      <c r="D457" s="4" t="s">
        <v>68</v>
      </c>
      <c r="E457" s="7">
        <v>87</v>
      </c>
      <c r="F457" s="5">
        <f>IFERROR(VLOOKUP(D457, Sheet2!$A:$C, 3, FALSE), 0)</f>
        <v>13400</v>
      </c>
      <c r="G457" s="6">
        <f t="shared" si="7"/>
        <v>1165800</v>
      </c>
    </row>
    <row r="458" spans="1:7" ht="17.25" x14ac:dyDescent="0.3">
      <c r="A458" s="22" t="s">
        <v>153</v>
      </c>
      <c r="B458" s="22" t="s">
        <v>24</v>
      </c>
      <c r="C458" s="4" t="s">
        <v>338</v>
      </c>
      <c r="D458" s="4" t="s">
        <v>36</v>
      </c>
      <c r="E458" s="7">
        <v>5</v>
      </c>
      <c r="F458" s="5">
        <f>IFERROR(VLOOKUP(D458, Sheet2!$A:$C, 3, FALSE), 0)</f>
        <v>7899.9999999999991</v>
      </c>
      <c r="G458" s="6">
        <f t="shared" si="7"/>
        <v>39499.999999999993</v>
      </c>
    </row>
    <row r="459" spans="1:7" ht="17.25" x14ac:dyDescent="0.3">
      <c r="A459" s="23" t="s">
        <v>153</v>
      </c>
      <c r="B459" s="22" t="s">
        <v>23</v>
      </c>
      <c r="C459" s="4" t="s">
        <v>337</v>
      </c>
      <c r="D459" s="4" t="s">
        <v>144</v>
      </c>
      <c r="E459" s="7">
        <v>675</v>
      </c>
      <c r="F459" s="5">
        <f>IFERROR(VLOOKUP(D459, Sheet2!$A:$C, 3, FALSE), 0)</f>
        <v>10272.727272727272</v>
      </c>
      <c r="G459" s="6">
        <f t="shared" si="7"/>
        <v>6934090.9090909082</v>
      </c>
    </row>
    <row r="460" spans="1:7" ht="17.25" x14ac:dyDescent="0.3">
      <c r="A460" s="23" t="s">
        <v>153</v>
      </c>
      <c r="B460" s="22" t="s">
        <v>23</v>
      </c>
      <c r="C460" s="4" t="s">
        <v>337</v>
      </c>
      <c r="D460" s="4" t="s">
        <v>144</v>
      </c>
      <c r="E460" s="7">
        <v>633</v>
      </c>
      <c r="F460" s="5">
        <f>IFERROR(VLOOKUP(D460, Sheet2!$A:$C, 3, FALSE), 0)</f>
        <v>10272.727272727272</v>
      </c>
      <c r="G460" s="6">
        <f t="shared" si="7"/>
        <v>6502636.3636363633</v>
      </c>
    </row>
    <row r="461" spans="1:7" ht="17.25" x14ac:dyDescent="0.3">
      <c r="A461" s="22" t="s">
        <v>153</v>
      </c>
      <c r="B461" s="22" t="s">
        <v>239</v>
      </c>
      <c r="C461" s="4" t="s">
        <v>339</v>
      </c>
      <c r="D461" s="4" t="s">
        <v>97</v>
      </c>
      <c r="E461" s="7">
        <v>1000</v>
      </c>
      <c r="F461" s="5">
        <f>IFERROR(VLOOKUP(D461, Sheet2!$A:$C, 3, FALSE), 0)</f>
        <v>17181.81818181818</v>
      </c>
      <c r="G461" s="6">
        <f t="shared" si="7"/>
        <v>17181818.18181818</v>
      </c>
    </row>
    <row r="462" spans="1:7" ht="17.25" x14ac:dyDescent="0.3">
      <c r="A462" s="22" t="s">
        <v>153</v>
      </c>
      <c r="B462" s="22" t="s">
        <v>240</v>
      </c>
      <c r="C462" s="4" t="s">
        <v>339</v>
      </c>
      <c r="D462" s="4" t="s">
        <v>97</v>
      </c>
      <c r="E462" s="7">
        <v>185</v>
      </c>
      <c r="F462" s="5">
        <f>IFERROR(VLOOKUP(D462, Sheet2!$A:$C, 3, FALSE), 0)</f>
        <v>17181.81818181818</v>
      </c>
      <c r="G462" s="6">
        <f t="shared" si="7"/>
        <v>3178636.3636363633</v>
      </c>
    </row>
    <row r="463" spans="1:7" ht="17.25" x14ac:dyDescent="0.3">
      <c r="A463" s="22" t="s">
        <v>153</v>
      </c>
      <c r="B463" s="22" t="s">
        <v>241</v>
      </c>
      <c r="C463" s="4" t="s">
        <v>339</v>
      </c>
      <c r="D463" s="4" t="s">
        <v>97</v>
      </c>
      <c r="E463" s="7">
        <v>224</v>
      </c>
      <c r="F463" s="5">
        <f>IFERROR(VLOOKUP(D463, Sheet2!$A:$C, 3, FALSE), 0)</f>
        <v>17181.81818181818</v>
      </c>
      <c r="G463" s="6">
        <f t="shared" si="7"/>
        <v>3848727.2727272725</v>
      </c>
    </row>
    <row r="464" spans="1:7" ht="17.25" x14ac:dyDescent="0.3">
      <c r="A464" s="23" t="s">
        <v>155</v>
      </c>
      <c r="B464" s="22" t="s">
        <v>48</v>
      </c>
      <c r="C464" s="4" t="s">
        <v>344</v>
      </c>
      <c r="D464" s="4" t="s">
        <v>52</v>
      </c>
      <c r="E464" s="7">
        <v>125</v>
      </c>
      <c r="F464" s="5">
        <f>IFERROR(VLOOKUP(D464, Sheet2!$A:$C, 3, FALSE), 0)</f>
        <v>5999.9999999999991</v>
      </c>
      <c r="G464" s="6">
        <f t="shared" si="7"/>
        <v>749999.99999999988</v>
      </c>
    </row>
    <row r="465" spans="1:7" ht="17.25" x14ac:dyDescent="0.3">
      <c r="A465" s="23" t="s">
        <v>153</v>
      </c>
      <c r="B465" s="22" t="s">
        <v>19</v>
      </c>
      <c r="C465" s="4" t="s">
        <v>344</v>
      </c>
      <c r="D465" s="4" t="s">
        <v>53</v>
      </c>
      <c r="E465" s="10">
        <v>668</v>
      </c>
      <c r="F465" s="5">
        <f>IFERROR(VLOOKUP(D465, Sheet2!$A:$C, 3, FALSE), 0)</f>
        <v>5818.181818181818</v>
      </c>
      <c r="G465" s="6">
        <f t="shared" si="7"/>
        <v>3886545.4545454546</v>
      </c>
    </row>
    <row r="466" spans="1:7" ht="17.25" x14ac:dyDescent="0.3">
      <c r="A466" s="23" t="s">
        <v>155</v>
      </c>
      <c r="B466" s="22" t="s">
        <v>16</v>
      </c>
      <c r="C466" s="4" t="s">
        <v>338</v>
      </c>
      <c r="D466" s="4" t="s">
        <v>36</v>
      </c>
      <c r="E466" s="7">
        <v>846</v>
      </c>
      <c r="F466" s="5">
        <f>IFERROR(VLOOKUP(D466, Sheet2!$A:$C, 3, FALSE), 0)</f>
        <v>7899.9999999999991</v>
      </c>
      <c r="G466" s="6">
        <f t="shared" si="7"/>
        <v>6683399.9999999991</v>
      </c>
    </row>
    <row r="467" spans="1:7" ht="17.25" x14ac:dyDescent="0.3">
      <c r="A467" s="23" t="s">
        <v>155</v>
      </c>
      <c r="B467" s="22" t="s">
        <v>16</v>
      </c>
      <c r="C467" s="4" t="s">
        <v>337</v>
      </c>
      <c r="D467" s="4" t="s">
        <v>64</v>
      </c>
      <c r="E467" s="7">
        <v>3</v>
      </c>
      <c r="F467" s="5">
        <f>IFERROR(VLOOKUP(D467, Sheet2!$A:$C, 3, FALSE), 0)</f>
        <v>14545.454545454544</v>
      </c>
      <c r="G467" s="6">
        <f t="shared" si="7"/>
        <v>43636.363636363632</v>
      </c>
    </row>
    <row r="468" spans="1:7" ht="17.25" x14ac:dyDescent="0.3">
      <c r="A468" s="23" t="s">
        <v>155</v>
      </c>
      <c r="B468" s="22" t="s">
        <v>16</v>
      </c>
      <c r="C468" s="4" t="s">
        <v>338</v>
      </c>
      <c r="D468" s="4" t="s">
        <v>36</v>
      </c>
      <c r="E468" s="7">
        <v>5</v>
      </c>
      <c r="F468" s="5">
        <f>IFERROR(VLOOKUP(D468, Sheet2!$A:$C, 3, FALSE), 0)</f>
        <v>7899.9999999999991</v>
      </c>
      <c r="G468" s="6">
        <f t="shared" si="7"/>
        <v>39499.999999999993</v>
      </c>
    </row>
    <row r="469" spans="1:7" ht="17.25" x14ac:dyDescent="0.3">
      <c r="A469" s="23" t="s">
        <v>155</v>
      </c>
      <c r="B469" s="22" t="s">
        <v>14</v>
      </c>
      <c r="C469" s="4" t="s">
        <v>344</v>
      </c>
      <c r="D469" s="4" t="s">
        <v>15</v>
      </c>
      <c r="E469" s="7">
        <v>230</v>
      </c>
      <c r="F469" s="5">
        <f>IFERROR(VLOOKUP(D469, Sheet2!$A:$C, 3, FALSE), 0)</f>
        <v>3863.6363636363635</v>
      </c>
      <c r="G469" s="6">
        <f t="shared" si="7"/>
        <v>888636.36363636365</v>
      </c>
    </row>
    <row r="470" spans="1:7" ht="17.25" x14ac:dyDescent="0.3">
      <c r="A470" s="23" t="s">
        <v>155</v>
      </c>
      <c r="B470" s="22" t="s">
        <v>102</v>
      </c>
      <c r="C470" s="4" t="s">
        <v>342</v>
      </c>
      <c r="D470" s="4" t="s">
        <v>61</v>
      </c>
      <c r="E470" s="7">
        <v>125</v>
      </c>
      <c r="F470" s="5">
        <f>IFERROR(VLOOKUP(D470, Sheet2!$A:$C, 3, FALSE), 0)</f>
        <v>7363.6363636363631</v>
      </c>
      <c r="G470" s="6">
        <f t="shared" si="7"/>
        <v>920454.54545454541</v>
      </c>
    </row>
    <row r="471" spans="1:7" ht="17.25" x14ac:dyDescent="0.3">
      <c r="A471" s="23" t="s">
        <v>155</v>
      </c>
      <c r="B471" s="22" t="s">
        <v>150</v>
      </c>
      <c r="C471" s="4" t="s">
        <v>344</v>
      </c>
      <c r="D471" s="4" t="s">
        <v>156</v>
      </c>
      <c r="E471" s="7">
        <v>401</v>
      </c>
      <c r="F471" s="5">
        <f>IFERROR(VLOOKUP(D471, Sheet2!$A:$C, 3, FALSE), 0)</f>
        <v>3454.545454545454</v>
      </c>
      <c r="G471" s="6">
        <f t="shared" si="7"/>
        <v>1385272.7272727271</v>
      </c>
    </row>
    <row r="472" spans="1:7" ht="17.25" x14ac:dyDescent="0.3">
      <c r="A472" s="23" t="s">
        <v>155</v>
      </c>
      <c r="B472" s="22" t="s">
        <v>150</v>
      </c>
      <c r="C472" s="4" t="s">
        <v>342</v>
      </c>
      <c r="D472" s="4" t="s">
        <v>61</v>
      </c>
      <c r="E472" s="7">
        <v>332</v>
      </c>
      <c r="F472" s="5">
        <f>IFERROR(VLOOKUP(D472, Sheet2!$A:$C, 3, FALSE), 0)</f>
        <v>7363.6363636363631</v>
      </c>
      <c r="G472" s="6">
        <f t="shared" si="7"/>
        <v>2444727.2727272725</v>
      </c>
    </row>
    <row r="473" spans="1:7" ht="17.25" x14ac:dyDescent="0.3">
      <c r="A473" s="23" t="s">
        <v>155</v>
      </c>
      <c r="B473" s="22" t="s">
        <v>14</v>
      </c>
      <c r="C473" s="4" t="s">
        <v>337</v>
      </c>
      <c r="D473" s="4" t="s">
        <v>122</v>
      </c>
      <c r="E473" s="7">
        <v>983</v>
      </c>
      <c r="F473" s="5">
        <f>IFERROR(VLOOKUP(D473, Sheet2!$A:$C, 3, FALSE), 0)</f>
        <v>8181.8181818181811</v>
      </c>
      <c r="G473" s="6">
        <f t="shared" si="7"/>
        <v>8042727.2727272715</v>
      </c>
    </row>
    <row r="474" spans="1:7" ht="17.25" x14ac:dyDescent="0.3">
      <c r="A474" s="23" t="s">
        <v>155</v>
      </c>
      <c r="B474" s="22" t="s">
        <v>23</v>
      </c>
      <c r="C474" s="4" t="s">
        <v>337</v>
      </c>
      <c r="D474" s="4" t="s">
        <v>144</v>
      </c>
      <c r="E474" s="7">
        <v>896</v>
      </c>
      <c r="F474" s="5">
        <f>IFERROR(VLOOKUP(D474, Sheet2!$A:$C, 3, FALSE), 0)</f>
        <v>10272.727272727272</v>
      </c>
      <c r="G474" s="6">
        <f t="shared" si="7"/>
        <v>9204363.6363636367</v>
      </c>
    </row>
    <row r="475" spans="1:7" ht="17.25" x14ac:dyDescent="0.3">
      <c r="A475" s="22" t="s">
        <v>155</v>
      </c>
      <c r="B475" s="22" t="s">
        <v>23</v>
      </c>
      <c r="C475" s="4" t="s">
        <v>342</v>
      </c>
      <c r="D475" s="4" t="s">
        <v>61</v>
      </c>
      <c r="E475" s="7">
        <v>50</v>
      </c>
      <c r="F475" s="5">
        <f>IFERROR(VLOOKUP(D475, Sheet2!$A:$C, 3, FALSE), 0)</f>
        <v>7363.6363636363631</v>
      </c>
      <c r="G475" s="6">
        <f t="shared" si="7"/>
        <v>368181.81818181818</v>
      </c>
    </row>
    <row r="476" spans="1:7" ht="17.25" x14ac:dyDescent="0.3">
      <c r="A476" s="22" t="s">
        <v>155</v>
      </c>
      <c r="B476" s="22" t="s">
        <v>23</v>
      </c>
      <c r="C476" s="4" t="s">
        <v>342</v>
      </c>
      <c r="D476" s="4" t="s">
        <v>61</v>
      </c>
      <c r="E476" s="7">
        <v>44</v>
      </c>
      <c r="F476" s="5">
        <f>IFERROR(VLOOKUP(D476, Sheet2!$A:$C, 3, FALSE), 0)</f>
        <v>7363.6363636363631</v>
      </c>
      <c r="G476" s="6">
        <f t="shared" ref="G476:G539" si="8">E476*F476</f>
        <v>324000</v>
      </c>
    </row>
    <row r="477" spans="1:7" ht="17.25" x14ac:dyDescent="0.3">
      <c r="A477" s="22" t="s">
        <v>155</v>
      </c>
      <c r="B477" s="22" t="s">
        <v>93</v>
      </c>
      <c r="C477" s="4" t="s">
        <v>342</v>
      </c>
      <c r="D477" s="4" t="s">
        <v>61</v>
      </c>
      <c r="E477" s="7">
        <v>290</v>
      </c>
      <c r="F477" s="5">
        <f>IFERROR(VLOOKUP(D477, Sheet2!$A:$C, 3, FALSE), 0)</f>
        <v>7363.6363636363631</v>
      </c>
      <c r="G477" s="6">
        <f t="shared" si="8"/>
        <v>2135454.5454545454</v>
      </c>
    </row>
    <row r="478" spans="1:7" ht="17.25" x14ac:dyDescent="0.3">
      <c r="A478" s="23" t="s">
        <v>155</v>
      </c>
      <c r="B478" s="22" t="s">
        <v>66</v>
      </c>
      <c r="C478" s="4" t="s">
        <v>339</v>
      </c>
      <c r="D478" s="4" t="s">
        <v>67</v>
      </c>
      <c r="E478" s="7">
        <v>785</v>
      </c>
      <c r="F478" s="5">
        <f>IFERROR(VLOOKUP(D478, Sheet2!$A:$C, 3, FALSE), 0)</f>
        <v>10818.181818181818</v>
      </c>
      <c r="G478" s="6">
        <f t="shared" si="8"/>
        <v>8492272.7272727266</v>
      </c>
    </row>
    <row r="479" spans="1:7" ht="17.25" x14ac:dyDescent="0.3">
      <c r="A479" s="23" t="s">
        <v>155</v>
      </c>
      <c r="B479" s="22" t="s">
        <v>95</v>
      </c>
      <c r="C479" s="4" t="s">
        <v>342</v>
      </c>
      <c r="D479" s="4" t="s">
        <v>61</v>
      </c>
      <c r="E479" s="7">
        <v>179.9</v>
      </c>
      <c r="F479" s="5">
        <f>IFERROR(VLOOKUP(D479, Sheet2!$A:$C, 3, FALSE), 0)</f>
        <v>7363.6363636363631</v>
      </c>
      <c r="G479" s="6">
        <f t="shared" si="8"/>
        <v>1324718.1818181816</v>
      </c>
    </row>
    <row r="480" spans="1:7" ht="17.25" x14ac:dyDescent="0.3">
      <c r="A480" s="22" t="s">
        <v>155</v>
      </c>
      <c r="B480" s="22" t="s">
        <v>24</v>
      </c>
      <c r="C480" s="4" t="s">
        <v>338</v>
      </c>
      <c r="D480" s="4" t="s">
        <v>36</v>
      </c>
      <c r="E480" s="7">
        <v>224</v>
      </c>
      <c r="F480" s="5">
        <f>IFERROR(VLOOKUP(D480, Sheet2!$A:$C, 3, FALSE), 0)</f>
        <v>7899.9999999999991</v>
      </c>
      <c r="G480" s="6">
        <f t="shared" si="8"/>
        <v>1769599.9999999998</v>
      </c>
    </row>
    <row r="481" spans="1:7" ht="17.25" x14ac:dyDescent="0.3">
      <c r="A481" s="22" t="s">
        <v>155</v>
      </c>
      <c r="B481" s="22" t="s">
        <v>41</v>
      </c>
      <c r="C481" s="4" t="s">
        <v>341</v>
      </c>
      <c r="D481" s="4" t="s">
        <v>17</v>
      </c>
      <c r="E481" s="7">
        <v>152</v>
      </c>
      <c r="F481" s="5">
        <f>IFERROR(VLOOKUP(D481, Sheet2!$A:$C, 3, FALSE), 0)</f>
        <v>11700</v>
      </c>
      <c r="G481" s="6">
        <f t="shared" si="8"/>
        <v>1778400</v>
      </c>
    </row>
    <row r="482" spans="1:7" ht="17.25" x14ac:dyDescent="0.3">
      <c r="A482" s="22" t="s">
        <v>155</v>
      </c>
      <c r="B482" s="22" t="s">
        <v>33</v>
      </c>
      <c r="C482" s="4" t="s">
        <v>338</v>
      </c>
      <c r="D482" s="4" t="s">
        <v>73</v>
      </c>
      <c r="E482" s="7">
        <v>420</v>
      </c>
      <c r="F482" s="5">
        <f>IFERROR(VLOOKUP(D482, Sheet2!$A:$C, 3, FALSE), 0)</f>
        <v>7899.9999999999991</v>
      </c>
      <c r="G482" s="6">
        <f t="shared" si="8"/>
        <v>3317999.9999999995</v>
      </c>
    </row>
    <row r="483" spans="1:7" ht="17.25" x14ac:dyDescent="0.3">
      <c r="A483" s="22" t="s">
        <v>155</v>
      </c>
      <c r="B483" s="22" t="s">
        <v>33</v>
      </c>
      <c r="C483" s="4" t="s">
        <v>344</v>
      </c>
      <c r="D483" s="4" t="s">
        <v>44</v>
      </c>
      <c r="E483" s="7">
        <v>192</v>
      </c>
      <c r="F483" s="5">
        <f>IFERROR(VLOOKUP(D483, Sheet2!$A:$C, 3, FALSE), 0)</f>
        <v>5909.090909090909</v>
      </c>
      <c r="G483" s="6">
        <f t="shared" si="8"/>
        <v>1134545.4545454546</v>
      </c>
    </row>
    <row r="484" spans="1:7" ht="17.25" x14ac:dyDescent="0.3">
      <c r="A484" s="22" t="s">
        <v>155</v>
      </c>
      <c r="B484" s="24" t="s">
        <v>66</v>
      </c>
      <c r="C484" s="4" t="s">
        <v>340</v>
      </c>
      <c r="D484" s="8" t="s">
        <v>49</v>
      </c>
      <c r="E484" s="7">
        <v>356</v>
      </c>
      <c r="F484" s="5">
        <f>IFERROR(VLOOKUP(D484, Sheet2!$A:$C, 3, FALSE), 0)</f>
        <v>38000</v>
      </c>
      <c r="G484" s="6">
        <f t="shared" si="8"/>
        <v>13528000</v>
      </c>
    </row>
    <row r="485" spans="1:7" ht="17.25" x14ac:dyDescent="0.3">
      <c r="A485" s="22" t="s">
        <v>155</v>
      </c>
      <c r="B485" s="22" t="s">
        <v>21</v>
      </c>
      <c r="C485" s="4" t="s">
        <v>340</v>
      </c>
      <c r="D485" s="4" t="s">
        <v>49</v>
      </c>
      <c r="E485" s="7">
        <v>750</v>
      </c>
      <c r="F485" s="5">
        <f>IFERROR(VLOOKUP(D485, Sheet2!$A:$C, 3, FALSE), 0)</f>
        <v>38000</v>
      </c>
      <c r="G485" s="6">
        <f t="shared" si="8"/>
        <v>28500000</v>
      </c>
    </row>
    <row r="486" spans="1:7" ht="17.25" x14ac:dyDescent="0.3">
      <c r="A486" s="23" t="s">
        <v>157</v>
      </c>
      <c r="B486" s="22" t="s">
        <v>8</v>
      </c>
      <c r="C486" s="4" t="s">
        <v>338</v>
      </c>
      <c r="D486" s="4" t="s">
        <v>36</v>
      </c>
      <c r="E486" s="7">
        <v>234</v>
      </c>
      <c r="F486" s="5">
        <f>IFERROR(VLOOKUP(D486, Sheet2!$A:$C, 3, FALSE), 0)</f>
        <v>7899.9999999999991</v>
      </c>
      <c r="G486" s="6">
        <f t="shared" si="8"/>
        <v>1848599.9999999998</v>
      </c>
    </row>
    <row r="487" spans="1:7" ht="17.25" x14ac:dyDescent="0.3">
      <c r="A487" s="23" t="s">
        <v>157</v>
      </c>
      <c r="B487" s="22" t="s">
        <v>27</v>
      </c>
      <c r="C487" s="4" t="s">
        <v>341</v>
      </c>
      <c r="D487" s="4" t="s">
        <v>68</v>
      </c>
      <c r="E487" s="7">
        <v>218</v>
      </c>
      <c r="F487" s="5">
        <f>IFERROR(VLOOKUP(D487, Sheet2!$A:$C, 3, FALSE), 0)</f>
        <v>13400</v>
      </c>
      <c r="G487" s="6">
        <f t="shared" si="8"/>
        <v>2921200</v>
      </c>
    </row>
    <row r="488" spans="1:7" ht="17.25" x14ac:dyDescent="0.3">
      <c r="A488" s="23" t="s">
        <v>157</v>
      </c>
      <c r="B488" s="22" t="s">
        <v>27</v>
      </c>
      <c r="C488" s="4" t="s">
        <v>341</v>
      </c>
      <c r="D488" s="4" t="s">
        <v>110</v>
      </c>
      <c r="E488" s="7">
        <v>614</v>
      </c>
      <c r="F488" s="5">
        <f>IFERROR(VLOOKUP(D488, Sheet2!$A:$C, 3, FALSE), 0)</f>
        <v>2500</v>
      </c>
      <c r="G488" s="6">
        <f t="shared" si="8"/>
        <v>1535000</v>
      </c>
    </row>
    <row r="489" spans="1:7" ht="17.25" x14ac:dyDescent="0.3">
      <c r="A489" s="23" t="s">
        <v>157</v>
      </c>
      <c r="B489" s="22" t="s">
        <v>102</v>
      </c>
      <c r="C489" s="4" t="s">
        <v>337</v>
      </c>
      <c r="D489" s="4" t="s">
        <v>83</v>
      </c>
      <c r="E489" s="7">
        <v>290</v>
      </c>
      <c r="F489" s="5">
        <f>IFERROR(VLOOKUP(D489, Sheet2!$A:$C, 3, FALSE), 0)</f>
        <v>7636.363636363636</v>
      </c>
      <c r="G489" s="6">
        <f t="shared" si="8"/>
        <v>2214545.4545454546</v>
      </c>
    </row>
    <row r="490" spans="1:7" ht="17.25" x14ac:dyDescent="0.3">
      <c r="A490" s="23" t="s">
        <v>157</v>
      </c>
      <c r="B490" s="22" t="s">
        <v>46</v>
      </c>
      <c r="C490" s="4" t="s">
        <v>344</v>
      </c>
      <c r="D490" s="4" t="s">
        <v>56</v>
      </c>
      <c r="E490" s="7">
        <v>297</v>
      </c>
      <c r="F490" s="5">
        <f>IFERROR(VLOOKUP(D490, Sheet2!$A:$C, 3, FALSE), 0)</f>
        <v>5545.454545454545</v>
      </c>
      <c r="G490" s="6">
        <f t="shared" si="8"/>
        <v>1646999.9999999998</v>
      </c>
    </row>
    <row r="491" spans="1:7" ht="17.25" x14ac:dyDescent="0.3">
      <c r="A491" s="23" t="s">
        <v>157</v>
      </c>
      <c r="B491" s="22" t="s">
        <v>150</v>
      </c>
      <c r="C491" s="4" t="s">
        <v>342</v>
      </c>
      <c r="D491" s="4" t="s">
        <v>61</v>
      </c>
      <c r="E491" s="7">
        <v>373</v>
      </c>
      <c r="F491" s="5">
        <f>IFERROR(VLOOKUP(D491, Sheet2!$A:$C, 3, FALSE), 0)</f>
        <v>7363.6363636363631</v>
      </c>
      <c r="G491" s="6">
        <f t="shared" si="8"/>
        <v>2746636.3636363633</v>
      </c>
    </row>
    <row r="492" spans="1:7" ht="17.25" x14ac:dyDescent="0.3">
      <c r="A492" s="22" t="s">
        <v>157</v>
      </c>
      <c r="B492" s="22" t="s">
        <v>23</v>
      </c>
      <c r="C492" s="4" t="s">
        <v>342</v>
      </c>
      <c r="D492" s="4" t="s">
        <v>61</v>
      </c>
      <c r="E492" s="7">
        <v>46</v>
      </c>
      <c r="F492" s="5">
        <f>IFERROR(VLOOKUP(D492, Sheet2!$A:$C, 3, FALSE), 0)</f>
        <v>7363.6363636363631</v>
      </c>
      <c r="G492" s="6">
        <f t="shared" si="8"/>
        <v>338727.27272727271</v>
      </c>
    </row>
    <row r="493" spans="1:7" ht="17.25" x14ac:dyDescent="0.3">
      <c r="A493" s="22" t="s">
        <v>157</v>
      </c>
      <c r="B493" s="22" t="s">
        <v>29</v>
      </c>
      <c r="C493" s="4" t="s">
        <v>341</v>
      </c>
      <c r="D493" s="4" t="s">
        <v>68</v>
      </c>
      <c r="E493" s="7">
        <v>153</v>
      </c>
      <c r="F493" s="5">
        <f>IFERROR(VLOOKUP(D493, Sheet2!$A:$C, 3, FALSE), 0)</f>
        <v>13400</v>
      </c>
      <c r="G493" s="6">
        <f t="shared" si="8"/>
        <v>2050200</v>
      </c>
    </row>
    <row r="494" spans="1:7" ht="17.25" x14ac:dyDescent="0.3">
      <c r="A494" s="22" t="s">
        <v>157</v>
      </c>
      <c r="B494" s="22" t="s">
        <v>29</v>
      </c>
      <c r="C494" s="4" t="s">
        <v>341</v>
      </c>
      <c r="D494" s="4" t="s">
        <v>110</v>
      </c>
      <c r="E494" s="7">
        <v>463</v>
      </c>
      <c r="F494" s="5">
        <f>IFERROR(VLOOKUP(D494, Sheet2!$A:$C, 3, FALSE), 0)</f>
        <v>2500</v>
      </c>
      <c r="G494" s="6">
        <f t="shared" si="8"/>
        <v>1157500</v>
      </c>
    </row>
    <row r="495" spans="1:7" ht="17.25" x14ac:dyDescent="0.3">
      <c r="A495" s="22" t="s">
        <v>157</v>
      </c>
      <c r="B495" s="22" t="s">
        <v>51</v>
      </c>
      <c r="C495" s="4" t="s">
        <v>337</v>
      </c>
      <c r="D495" s="4" t="s">
        <v>9</v>
      </c>
      <c r="E495" s="7">
        <v>1100</v>
      </c>
      <c r="F495" s="5">
        <f>IFERROR(VLOOKUP(D495, Sheet2!$A:$C, 3, FALSE), 0)</f>
        <v>18636.363636363636</v>
      </c>
      <c r="G495" s="6">
        <f t="shared" si="8"/>
        <v>20500000</v>
      </c>
    </row>
    <row r="496" spans="1:7" ht="17.25" x14ac:dyDescent="0.3">
      <c r="A496" s="22" t="s">
        <v>157</v>
      </c>
      <c r="B496" s="22" t="s">
        <v>103</v>
      </c>
      <c r="C496" s="4" t="s">
        <v>337</v>
      </c>
      <c r="D496" s="4" t="s">
        <v>78</v>
      </c>
      <c r="E496" s="7">
        <v>1356</v>
      </c>
      <c r="F496" s="5">
        <f>IFERROR(VLOOKUP(D496, Sheet2!$A:$C, 3, FALSE), 0)</f>
        <v>14999.999999999998</v>
      </c>
      <c r="G496" s="6">
        <f t="shared" si="8"/>
        <v>20339999.999999996</v>
      </c>
    </row>
    <row r="497" spans="1:7" ht="17.25" x14ac:dyDescent="0.3">
      <c r="A497" s="22" t="s">
        <v>157</v>
      </c>
      <c r="B497" s="22" t="s">
        <v>31</v>
      </c>
      <c r="C497" s="4" t="s">
        <v>344</v>
      </c>
      <c r="D497" s="4" t="s">
        <v>32</v>
      </c>
      <c r="E497" s="7">
        <v>378</v>
      </c>
      <c r="F497" s="5">
        <f>IFERROR(VLOOKUP(D497, Sheet2!$A:$C, 3, FALSE), 0)</f>
        <v>4363.6363636363631</v>
      </c>
      <c r="G497" s="6">
        <f t="shared" si="8"/>
        <v>1649454.5454545452</v>
      </c>
    </row>
    <row r="498" spans="1:7" ht="17.25" x14ac:dyDescent="0.3">
      <c r="A498" s="22" t="s">
        <v>157</v>
      </c>
      <c r="B498" s="22" t="s">
        <v>31</v>
      </c>
      <c r="C498" s="4" t="s">
        <v>343</v>
      </c>
      <c r="D498" s="4" t="s">
        <v>45</v>
      </c>
      <c r="E498" s="7">
        <v>814</v>
      </c>
      <c r="F498" s="5">
        <f>IFERROR(VLOOKUP(D498, Sheet2!$A:$C, 3, FALSE), 0)</f>
        <v>10909.090909090908</v>
      </c>
      <c r="G498" s="6">
        <f t="shared" si="8"/>
        <v>8880000</v>
      </c>
    </row>
    <row r="499" spans="1:7" ht="17.25" x14ac:dyDescent="0.3">
      <c r="A499" s="22" t="s">
        <v>157</v>
      </c>
      <c r="B499" s="22" t="s">
        <v>69</v>
      </c>
      <c r="C499" s="4" t="s">
        <v>344</v>
      </c>
      <c r="D499" s="4" t="s">
        <v>22</v>
      </c>
      <c r="E499" s="7">
        <v>586</v>
      </c>
      <c r="F499" s="5">
        <f>IFERROR(VLOOKUP(D499, Sheet2!$A:$C, 3, FALSE), 0)</f>
        <v>5999.9999999999991</v>
      </c>
      <c r="G499" s="6">
        <f t="shared" si="8"/>
        <v>3515999.9999999995</v>
      </c>
    </row>
    <row r="500" spans="1:7" ht="17.25" x14ac:dyDescent="0.3">
      <c r="A500" s="22" t="s">
        <v>157</v>
      </c>
      <c r="B500" s="22" t="s">
        <v>33</v>
      </c>
      <c r="C500" s="4" t="s">
        <v>338</v>
      </c>
      <c r="D500" s="4" t="s">
        <v>73</v>
      </c>
      <c r="E500" s="7">
        <v>471</v>
      </c>
      <c r="F500" s="5">
        <f>IFERROR(VLOOKUP(D500, Sheet2!$A:$C, 3, FALSE), 0)</f>
        <v>7899.9999999999991</v>
      </c>
      <c r="G500" s="6">
        <f t="shared" si="8"/>
        <v>3720899.9999999995</v>
      </c>
    </row>
    <row r="501" spans="1:7" ht="17.25" x14ac:dyDescent="0.3">
      <c r="A501" s="22" t="s">
        <v>157</v>
      </c>
      <c r="B501" s="22" t="s">
        <v>21</v>
      </c>
      <c r="C501" s="4" t="s">
        <v>339</v>
      </c>
      <c r="D501" s="4" t="s">
        <v>76</v>
      </c>
      <c r="E501" s="7">
        <v>669</v>
      </c>
      <c r="F501" s="5">
        <f>IFERROR(VLOOKUP(D501, Sheet2!$A:$C, 3, FALSE), 0)</f>
        <v>8636.363636363636</v>
      </c>
      <c r="G501" s="6">
        <f t="shared" si="8"/>
        <v>5777727.2727272725</v>
      </c>
    </row>
    <row r="502" spans="1:7" ht="17.25" x14ac:dyDescent="0.3">
      <c r="A502" s="23" t="s">
        <v>158</v>
      </c>
      <c r="B502" s="22" t="s">
        <v>75</v>
      </c>
      <c r="C502" s="4" t="s">
        <v>337</v>
      </c>
      <c r="D502" s="4" t="s">
        <v>70</v>
      </c>
      <c r="E502" s="7">
        <v>937</v>
      </c>
      <c r="F502" s="5">
        <f>IFERROR(VLOOKUP(D502, Sheet2!$A:$C, 3, FALSE), 0)</f>
        <v>18636.363636363636</v>
      </c>
      <c r="G502" s="6">
        <f t="shared" si="8"/>
        <v>17462272.727272727</v>
      </c>
    </row>
    <row r="503" spans="1:7" ht="17.25" x14ac:dyDescent="0.3">
      <c r="A503" s="23" t="s">
        <v>158</v>
      </c>
      <c r="B503" s="22" t="s">
        <v>60</v>
      </c>
      <c r="C503" s="4" t="s">
        <v>342</v>
      </c>
      <c r="D503" s="4" t="s">
        <v>61</v>
      </c>
      <c r="E503" s="7">
        <v>88</v>
      </c>
      <c r="F503" s="5">
        <f>IFERROR(VLOOKUP(D503, Sheet2!$A:$C, 3, FALSE), 0)</f>
        <v>7363.6363636363631</v>
      </c>
      <c r="G503" s="6">
        <f t="shared" si="8"/>
        <v>648000</v>
      </c>
    </row>
    <row r="504" spans="1:7" ht="17.25" x14ac:dyDescent="0.3">
      <c r="A504" s="23" t="s">
        <v>158</v>
      </c>
      <c r="B504" s="22" t="s">
        <v>27</v>
      </c>
      <c r="C504" s="4" t="s">
        <v>344</v>
      </c>
      <c r="D504" s="4" t="s">
        <v>20</v>
      </c>
      <c r="E504" s="7">
        <v>239</v>
      </c>
      <c r="F504" s="5">
        <f>IFERROR(VLOOKUP(D504, Sheet2!$A:$C, 3, FALSE), 0)</f>
        <v>6999.9999999999991</v>
      </c>
      <c r="G504" s="6">
        <f t="shared" si="8"/>
        <v>1672999.9999999998</v>
      </c>
    </row>
    <row r="505" spans="1:7" ht="17.25" x14ac:dyDescent="0.3">
      <c r="A505" s="23" t="s">
        <v>158</v>
      </c>
      <c r="B505" s="22" t="s">
        <v>27</v>
      </c>
      <c r="C505" s="4" t="s">
        <v>341</v>
      </c>
      <c r="D505" s="4" t="s">
        <v>68</v>
      </c>
      <c r="E505" s="7">
        <v>189</v>
      </c>
      <c r="F505" s="5">
        <f>IFERROR(VLOOKUP(D505, Sheet2!$A:$C, 3, FALSE), 0)</f>
        <v>13400</v>
      </c>
      <c r="G505" s="6">
        <f t="shared" si="8"/>
        <v>2532600</v>
      </c>
    </row>
    <row r="506" spans="1:7" ht="17.25" x14ac:dyDescent="0.3">
      <c r="A506" s="23" t="s">
        <v>158</v>
      </c>
      <c r="B506" s="22" t="s">
        <v>27</v>
      </c>
      <c r="C506" s="4" t="s">
        <v>341</v>
      </c>
      <c r="D506" s="4" t="s">
        <v>110</v>
      </c>
      <c r="E506" s="7">
        <v>375</v>
      </c>
      <c r="F506" s="5">
        <f>IFERROR(VLOOKUP(D506, Sheet2!$A:$C, 3, FALSE), 0)</f>
        <v>2500</v>
      </c>
      <c r="G506" s="6">
        <f t="shared" si="8"/>
        <v>937500</v>
      </c>
    </row>
    <row r="507" spans="1:7" ht="17.25" x14ac:dyDescent="0.3">
      <c r="A507" s="23" t="s">
        <v>159</v>
      </c>
      <c r="B507" s="22" t="s">
        <v>21</v>
      </c>
      <c r="C507" s="4" t="s">
        <v>344</v>
      </c>
      <c r="D507" s="4" t="s">
        <v>22</v>
      </c>
      <c r="E507" s="7">
        <v>145</v>
      </c>
      <c r="F507" s="5">
        <f>IFERROR(VLOOKUP(D507, Sheet2!$A:$C, 3, FALSE), 0)</f>
        <v>5999.9999999999991</v>
      </c>
      <c r="G507" s="6">
        <f t="shared" si="8"/>
        <v>869999.99999999988</v>
      </c>
    </row>
    <row r="508" spans="1:7" ht="17.25" x14ac:dyDescent="0.3">
      <c r="A508" s="23" t="s">
        <v>159</v>
      </c>
      <c r="B508" s="22" t="s">
        <v>21</v>
      </c>
      <c r="C508" s="4" t="s">
        <v>216</v>
      </c>
      <c r="D508" s="4" t="s">
        <v>84</v>
      </c>
      <c r="E508" s="7">
        <v>534</v>
      </c>
      <c r="F508" s="5">
        <f>IFERROR(VLOOKUP(D508, Sheet2!$A:$C, 3, FALSE), 0)</f>
        <v>2090.9090909090905</v>
      </c>
      <c r="G508" s="6">
        <f t="shared" si="8"/>
        <v>1116545.4545454544</v>
      </c>
    </row>
    <row r="509" spans="1:7" ht="17.25" x14ac:dyDescent="0.3">
      <c r="A509" s="22" t="s">
        <v>158</v>
      </c>
      <c r="B509" s="22" t="s">
        <v>24</v>
      </c>
      <c r="C509" s="4" t="s">
        <v>341</v>
      </c>
      <c r="D509" s="4" t="s">
        <v>68</v>
      </c>
      <c r="E509" s="7">
        <v>70</v>
      </c>
      <c r="F509" s="5">
        <f>IFERROR(VLOOKUP(D509, Sheet2!$A:$C, 3, FALSE), 0)</f>
        <v>13400</v>
      </c>
      <c r="G509" s="6">
        <f t="shared" si="8"/>
        <v>938000</v>
      </c>
    </row>
    <row r="510" spans="1:7" ht="17.25" x14ac:dyDescent="0.3">
      <c r="A510" s="22" t="s">
        <v>158</v>
      </c>
      <c r="B510" s="22" t="s">
        <v>33</v>
      </c>
      <c r="C510" s="4" t="s">
        <v>340</v>
      </c>
      <c r="D510" s="4" t="s">
        <v>49</v>
      </c>
      <c r="E510" s="7">
        <v>218</v>
      </c>
      <c r="F510" s="5">
        <f>IFERROR(VLOOKUP(D510, Sheet2!$A:$C, 3, FALSE), 0)</f>
        <v>38000</v>
      </c>
      <c r="G510" s="6">
        <f t="shared" si="8"/>
        <v>8284000</v>
      </c>
    </row>
    <row r="511" spans="1:7" ht="17.25" x14ac:dyDescent="0.3">
      <c r="A511" s="23" t="s">
        <v>159</v>
      </c>
      <c r="B511" s="22" t="s">
        <v>19</v>
      </c>
      <c r="C511" s="4" t="s">
        <v>344</v>
      </c>
      <c r="D511" s="4" t="s">
        <v>120</v>
      </c>
      <c r="E511" s="7">
        <v>281</v>
      </c>
      <c r="F511" s="5">
        <f>IFERROR(VLOOKUP(D511, Sheet2!$A:$C, 3, FALSE), 0)</f>
        <v>6272.7272727272721</v>
      </c>
      <c r="G511" s="6">
        <f t="shared" si="8"/>
        <v>1762636.3636363635</v>
      </c>
    </row>
    <row r="512" spans="1:7" ht="17.25" x14ac:dyDescent="0.3">
      <c r="A512" s="23" t="s">
        <v>159</v>
      </c>
      <c r="B512" s="22" t="s">
        <v>8</v>
      </c>
      <c r="C512" s="4" t="s">
        <v>342</v>
      </c>
      <c r="D512" s="4" t="s">
        <v>35</v>
      </c>
      <c r="E512" s="7">
        <v>104</v>
      </c>
      <c r="F512" s="5">
        <f>IFERROR(VLOOKUP(D512, Sheet2!$A:$C, 3, FALSE), 0)</f>
        <v>8363.6363636363621</v>
      </c>
      <c r="G512" s="6">
        <f t="shared" si="8"/>
        <v>869818.18181818165</v>
      </c>
    </row>
    <row r="513" spans="1:7" ht="17.25" x14ac:dyDescent="0.3">
      <c r="A513" s="23" t="s">
        <v>159</v>
      </c>
      <c r="B513" s="22" t="s">
        <v>66</v>
      </c>
      <c r="C513" s="4" t="s">
        <v>338</v>
      </c>
      <c r="D513" s="4" t="s">
        <v>54</v>
      </c>
      <c r="E513" s="7">
        <v>884</v>
      </c>
      <c r="F513" s="5">
        <f>IFERROR(VLOOKUP(D513, Sheet2!$A:$C, 3, FALSE), 0)</f>
        <v>7899.9999999999991</v>
      </c>
      <c r="G513" s="6">
        <f t="shared" si="8"/>
        <v>6983599.9999999991</v>
      </c>
    </row>
    <row r="514" spans="1:7" ht="17.25" x14ac:dyDescent="0.3">
      <c r="A514" s="23" t="s">
        <v>159</v>
      </c>
      <c r="B514" s="22" t="s">
        <v>46</v>
      </c>
      <c r="C514" s="4" t="s">
        <v>344</v>
      </c>
      <c r="D514" s="4" t="s">
        <v>22</v>
      </c>
      <c r="E514" s="7">
        <v>199</v>
      </c>
      <c r="F514" s="5">
        <f>IFERROR(VLOOKUP(D514, Sheet2!$A:$C, 3, FALSE), 0)</f>
        <v>5999.9999999999991</v>
      </c>
      <c r="G514" s="6">
        <f t="shared" si="8"/>
        <v>1193999.9999999998</v>
      </c>
    </row>
    <row r="515" spans="1:7" ht="17.25" x14ac:dyDescent="0.3">
      <c r="A515" s="22" t="s">
        <v>159</v>
      </c>
      <c r="B515" s="22" t="s">
        <v>31</v>
      </c>
      <c r="C515" s="4" t="s">
        <v>337</v>
      </c>
      <c r="D515" s="4" t="s">
        <v>83</v>
      </c>
      <c r="E515" s="7">
        <v>597</v>
      </c>
      <c r="F515" s="5">
        <f>IFERROR(VLOOKUP(D515, Sheet2!$A:$C, 3, FALSE), 0)</f>
        <v>7636.363636363636</v>
      </c>
      <c r="G515" s="6">
        <f t="shared" si="8"/>
        <v>4558909.0909090908</v>
      </c>
    </row>
    <row r="516" spans="1:7" ht="17.25" x14ac:dyDescent="0.3">
      <c r="A516" s="22" t="s">
        <v>159</v>
      </c>
      <c r="B516" s="22" t="s">
        <v>29</v>
      </c>
      <c r="C516" s="4" t="s">
        <v>341</v>
      </c>
      <c r="D516" s="4" t="s">
        <v>68</v>
      </c>
      <c r="E516" s="7">
        <v>152</v>
      </c>
      <c r="F516" s="5">
        <f>IFERROR(VLOOKUP(D516, Sheet2!$A:$C, 3, FALSE), 0)</f>
        <v>13400</v>
      </c>
      <c r="G516" s="6">
        <f t="shared" si="8"/>
        <v>2036800</v>
      </c>
    </row>
    <row r="517" spans="1:7" ht="17.25" x14ac:dyDescent="0.3">
      <c r="A517" s="22" t="s">
        <v>159</v>
      </c>
      <c r="B517" s="22" t="s">
        <v>29</v>
      </c>
      <c r="C517" s="4" t="s">
        <v>344</v>
      </c>
      <c r="D517" s="4" t="s">
        <v>20</v>
      </c>
      <c r="E517" s="7">
        <v>188</v>
      </c>
      <c r="F517" s="5">
        <f>IFERROR(VLOOKUP(D517, Sheet2!$A:$C, 3, FALSE), 0)</f>
        <v>6999.9999999999991</v>
      </c>
      <c r="G517" s="6">
        <f t="shared" si="8"/>
        <v>1315999.9999999998</v>
      </c>
    </row>
    <row r="518" spans="1:7" ht="17.25" x14ac:dyDescent="0.3">
      <c r="A518" s="22" t="s">
        <v>159</v>
      </c>
      <c r="B518" s="22" t="s">
        <v>29</v>
      </c>
      <c r="C518" s="4" t="s">
        <v>341</v>
      </c>
      <c r="D518" s="4" t="s">
        <v>110</v>
      </c>
      <c r="E518" s="7">
        <v>286</v>
      </c>
      <c r="F518" s="5">
        <f>IFERROR(VLOOKUP(D518, Sheet2!$A:$C, 3, FALSE), 0)</f>
        <v>2500</v>
      </c>
      <c r="G518" s="6">
        <f t="shared" si="8"/>
        <v>715000</v>
      </c>
    </row>
    <row r="519" spans="1:7" ht="17.25" x14ac:dyDescent="0.3">
      <c r="A519" s="22" t="s">
        <v>159</v>
      </c>
      <c r="B519" s="22" t="s">
        <v>41</v>
      </c>
      <c r="C519" s="4" t="s">
        <v>341</v>
      </c>
      <c r="D519" s="4" t="s">
        <v>17</v>
      </c>
      <c r="E519" s="7">
        <v>297</v>
      </c>
      <c r="F519" s="5">
        <f>IFERROR(VLOOKUP(D519, Sheet2!$A:$C, 3, FALSE), 0)</f>
        <v>11700</v>
      </c>
      <c r="G519" s="6">
        <f t="shared" si="8"/>
        <v>3474900</v>
      </c>
    </row>
    <row r="520" spans="1:7" ht="17.25" x14ac:dyDescent="0.3">
      <c r="A520" s="22" t="s">
        <v>159</v>
      </c>
      <c r="B520" s="22" t="s">
        <v>33</v>
      </c>
      <c r="C520" s="4" t="s">
        <v>344</v>
      </c>
      <c r="D520" s="4" t="s">
        <v>20</v>
      </c>
      <c r="E520" s="7">
        <v>313</v>
      </c>
      <c r="F520" s="5">
        <f>IFERROR(VLOOKUP(D520, Sheet2!$A:$C, 3, FALSE), 0)</f>
        <v>6999.9999999999991</v>
      </c>
      <c r="G520" s="6">
        <f t="shared" si="8"/>
        <v>2190999.9999999995</v>
      </c>
    </row>
    <row r="521" spans="1:7" ht="17.25" x14ac:dyDescent="0.3">
      <c r="A521" s="23" t="s">
        <v>159</v>
      </c>
      <c r="B521" s="22" t="s">
        <v>5</v>
      </c>
      <c r="C521" s="4" t="s">
        <v>337</v>
      </c>
      <c r="D521" s="4" t="s">
        <v>6</v>
      </c>
      <c r="E521" s="7">
        <v>1142</v>
      </c>
      <c r="F521" s="5">
        <f>IFERROR(VLOOKUP(D521, Sheet2!$A:$C, 3, FALSE), 0)</f>
        <v>14999.999999999998</v>
      </c>
      <c r="G521" s="6">
        <f t="shared" si="8"/>
        <v>17129999.999999996</v>
      </c>
    </row>
    <row r="522" spans="1:7" ht="17.25" x14ac:dyDescent="0.3">
      <c r="A522" s="23" t="s">
        <v>160</v>
      </c>
      <c r="B522" s="22" t="s">
        <v>48</v>
      </c>
      <c r="C522" s="4" t="s">
        <v>344</v>
      </c>
      <c r="D522" s="4" t="s">
        <v>53</v>
      </c>
      <c r="E522" s="7">
        <v>357</v>
      </c>
      <c r="F522" s="5">
        <f>IFERROR(VLOOKUP(D522, Sheet2!$A:$C, 3, FALSE), 0)</f>
        <v>5818.181818181818</v>
      </c>
      <c r="G522" s="6">
        <f t="shared" si="8"/>
        <v>2077090.9090909089</v>
      </c>
    </row>
    <row r="523" spans="1:7" ht="17.25" x14ac:dyDescent="0.3">
      <c r="A523" s="23" t="s">
        <v>160</v>
      </c>
      <c r="B523" s="22" t="s">
        <v>60</v>
      </c>
      <c r="C523" s="4" t="s">
        <v>344</v>
      </c>
      <c r="D523" s="4" t="s">
        <v>32</v>
      </c>
      <c r="E523" s="7">
        <v>343</v>
      </c>
      <c r="F523" s="5">
        <f>IFERROR(VLOOKUP(D523, Sheet2!$A:$C, 3, FALSE), 0)</f>
        <v>4363.6363636363631</v>
      </c>
      <c r="G523" s="6">
        <f t="shared" si="8"/>
        <v>1496727.2727272725</v>
      </c>
    </row>
    <row r="524" spans="1:7" ht="17.25" x14ac:dyDescent="0.3">
      <c r="A524" s="23" t="s">
        <v>160</v>
      </c>
      <c r="B524" s="22" t="s">
        <v>60</v>
      </c>
      <c r="C524" s="4" t="s">
        <v>342</v>
      </c>
      <c r="D524" s="4" t="s">
        <v>61</v>
      </c>
      <c r="E524" s="7">
        <v>105</v>
      </c>
      <c r="F524" s="5">
        <f>IFERROR(VLOOKUP(D524, Sheet2!$A:$C, 3, FALSE), 0)</f>
        <v>7363.6363636363631</v>
      </c>
      <c r="G524" s="6">
        <f t="shared" si="8"/>
        <v>773181.81818181812</v>
      </c>
    </row>
    <row r="525" spans="1:7" ht="17.25" x14ac:dyDescent="0.3">
      <c r="A525" s="23" t="s">
        <v>160</v>
      </c>
      <c r="B525" s="22" t="s">
        <v>27</v>
      </c>
      <c r="C525" s="4" t="s">
        <v>341</v>
      </c>
      <c r="D525" s="4" t="s">
        <v>110</v>
      </c>
      <c r="E525" s="7">
        <v>484</v>
      </c>
      <c r="F525" s="5">
        <f>IFERROR(VLOOKUP(D525, Sheet2!$A:$C, 3, FALSE), 0)</f>
        <v>2500</v>
      </c>
      <c r="G525" s="6">
        <f t="shared" si="8"/>
        <v>1210000</v>
      </c>
    </row>
    <row r="526" spans="1:7" ht="17.25" x14ac:dyDescent="0.3">
      <c r="A526" s="22" t="s">
        <v>160</v>
      </c>
      <c r="B526" s="22" t="s">
        <v>23</v>
      </c>
      <c r="C526" s="4" t="s">
        <v>342</v>
      </c>
      <c r="D526" s="4" t="s">
        <v>61</v>
      </c>
      <c r="E526" s="7">
        <v>49</v>
      </c>
      <c r="F526" s="5">
        <f>IFERROR(VLOOKUP(D526, Sheet2!$A:$C, 3, FALSE), 0)</f>
        <v>7363.6363636363631</v>
      </c>
      <c r="G526" s="6">
        <f t="shared" si="8"/>
        <v>360818.18181818177</v>
      </c>
    </row>
    <row r="527" spans="1:7" ht="17.25" x14ac:dyDescent="0.3">
      <c r="A527" s="22" t="s">
        <v>160</v>
      </c>
      <c r="B527" s="22" t="s">
        <v>23</v>
      </c>
      <c r="C527" s="4" t="s">
        <v>342</v>
      </c>
      <c r="D527" s="4" t="s">
        <v>61</v>
      </c>
      <c r="E527" s="7">
        <v>35</v>
      </c>
      <c r="F527" s="5">
        <f>IFERROR(VLOOKUP(D527, Sheet2!$A:$C, 3, FALSE), 0)</f>
        <v>7363.6363636363631</v>
      </c>
      <c r="G527" s="6">
        <f t="shared" si="8"/>
        <v>257727.27272727271</v>
      </c>
    </row>
    <row r="528" spans="1:7" ht="17.25" x14ac:dyDescent="0.3">
      <c r="A528" s="23" t="s">
        <v>161</v>
      </c>
      <c r="B528" s="22" t="s">
        <v>21</v>
      </c>
      <c r="C528" s="4" t="s">
        <v>344</v>
      </c>
      <c r="D528" s="4" t="s">
        <v>44</v>
      </c>
      <c r="E528" s="7">
        <v>192</v>
      </c>
      <c r="F528" s="5">
        <f>IFERROR(VLOOKUP(D528, Sheet2!$A:$C, 3, FALSE), 0)</f>
        <v>5909.090909090909</v>
      </c>
      <c r="G528" s="6">
        <f t="shared" si="8"/>
        <v>1134545.4545454546</v>
      </c>
    </row>
    <row r="529" spans="1:7" ht="17.25" x14ac:dyDescent="0.3">
      <c r="A529" s="23" t="s">
        <v>161</v>
      </c>
      <c r="B529" s="22" t="s">
        <v>21</v>
      </c>
      <c r="C529" s="4" t="s">
        <v>344</v>
      </c>
      <c r="D529" s="4" t="s">
        <v>20</v>
      </c>
      <c r="E529" s="7">
        <v>254</v>
      </c>
      <c r="F529" s="5">
        <f>IFERROR(VLOOKUP(D529, Sheet2!$A:$C, 3, FALSE), 0)</f>
        <v>6999.9999999999991</v>
      </c>
      <c r="G529" s="6">
        <f t="shared" si="8"/>
        <v>1777999.9999999998</v>
      </c>
    </row>
    <row r="530" spans="1:7" ht="17.25" x14ac:dyDescent="0.3">
      <c r="A530" s="23" t="s">
        <v>161</v>
      </c>
      <c r="B530" s="22" t="s">
        <v>75</v>
      </c>
      <c r="C530" s="4" t="s">
        <v>342</v>
      </c>
      <c r="D530" s="4" t="s">
        <v>61</v>
      </c>
      <c r="E530" s="7">
        <v>93</v>
      </c>
      <c r="F530" s="5">
        <f>IFERROR(VLOOKUP(D530, Sheet2!$A:$C, 3, FALSE), 0)</f>
        <v>7363.6363636363631</v>
      </c>
      <c r="G530" s="6">
        <f t="shared" si="8"/>
        <v>684818.18181818177</v>
      </c>
    </row>
    <row r="531" spans="1:7" ht="17.25" x14ac:dyDescent="0.3">
      <c r="A531" s="23" t="s">
        <v>161</v>
      </c>
      <c r="B531" s="22" t="s">
        <v>48</v>
      </c>
      <c r="C531" s="4" t="s">
        <v>344</v>
      </c>
      <c r="D531" s="4" t="s">
        <v>53</v>
      </c>
      <c r="E531" s="7">
        <v>338</v>
      </c>
      <c r="F531" s="5">
        <f>IFERROR(VLOOKUP(D531, Sheet2!$A:$C, 3, FALSE), 0)</f>
        <v>5818.181818181818</v>
      </c>
      <c r="G531" s="6">
        <f t="shared" si="8"/>
        <v>1966545.4545454546</v>
      </c>
    </row>
    <row r="532" spans="1:7" ht="17.25" x14ac:dyDescent="0.3">
      <c r="A532" s="22" t="s">
        <v>161</v>
      </c>
      <c r="B532" s="22" t="s">
        <v>102</v>
      </c>
      <c r="C532" s="4" t="s">
        <v>338</v>
      </c>
      <c r="D532" s="4" t="s">
        <v>36</v>
      </c>
      <c r="E532" s="7">
        <v>399</v>
      </c>
      <c r="F532" s="5">
        <f>IFERROR(VLOOKUP(D532, Sheet2!$A:$C, 3, FALSE), 0)</f>
        <v>7899.9999999999991</v>
      </c>
      <c r="G532" s="6">
        <f t="shared" si="8"/>
        <v>3152099.9999999995</v>
      </c>
    </row>
    <row r="533" spans="1:7" ht="17.25" x14ac:dyDescent="0.3">
      <c r="A533" s="23" t="s">
        <v>161</v>
      </c>
      <c r="B533" s="22" t="s">
        <v>102</v>
      </c>
      <c r="C533" s="4" t="s">
        <v>342</v>
      </c>
      <c r="D533" s="4" t="s">
        <v>61</v>
      </c>
      <c r="E533" s="7">
        <v>146</v>
      </c>
      <c r="F533" s="5">
        <f>IFERROR(VLOOKUP(D533, Sheet2!$A:$C, 3, FALSE), 0)</f>
        <v>7363.6363636363631</v>
      </c>
      <c r="G533" s="6">
        <f t="shared" si="8"/>
        <v>1075090.9090909089</v>
      </c>
    </row>
    <row r="534" spans="1:7" ht="17.25" x14ac:dyDescent="0.3">
      <c r="A534" s="23" t="s">
        <v>161</v>
      </c>
      <c r="B534" s="22" t="s">
        <v>46</v>
      </c>
      <c r="C534" s="4" t="s">
        <v>344</v>
      </c>
      <c r="D534" s="4" t="s">
        <v>162</v>
      </c>
      <c r="E534" s="7">
        <v>502</v>
      </c>
      <c r="F534" s="5">
        <f>IFERROR(VLOOKUP(D534, Sheet2!$A:$C, 3, FALSE), 0)</f>
        <v>6318.181818181818</v>
      </c>
      <c r="G534" s="6">
        <f t="shared" si="8"/>
        <v>3171727.2727272725</v>
      </c>
    </row>
    <row r="535" spans="1:7" ht="17.25" x14ac:dyDescent="0.3">
      <c r="A535" s="23" t="s">
        <v>161</v>
      </c>
      <c r="B535" s="22" t="s">
        <v>46</v>
      </c>
      <c r="C535" s="4" t="s">
        <v>344</v>
      </c>
      <c r="D535" s="4" t="s">
        <v>56</v>
      </c>
      <c r="E535" s="7">
        <v>163</v>
      </c>
      <c r="F535" s="5">
        <f>IFERROR(VLOOKUP(D535, Sheet2!$A:$C, 3, FALSE), 0)</f>
        <v>5545.454545454545</v>
      </c>
      <c r="G535" s="6">
        <f t="shared" si="8"/>
        <v>903909.09090909082</v>
      </c>
    </row>
    <row r="536" spans="1:7" ht="17.25" x14ac:dyDescent="0.3">
      <c r="A536" s="23" t="s">
        <v>161</v>
      </c>
      <c r="B536" s="22" t="s">
        <v>150</v>
      </c>
      <c r="C536" s="4" t="s">
        <v>342</v>
      </c>
      <c r="D536" s="4" t="s">
        <v>61</v>
      </c>
      <c r="E536" s="7">
        <v>446</v>
      </c>
      <c r="F536" s="5">
        <f>IFERROR(VLOOKUP(D536, Sheet2!$A:$C, 3, FALSE), 0)</f>
        <v>7363.6363636363631</v>
      </c>
      <c r="G536" s="6">
        <f t="shared" si="8"/>
        <v>3284181.8181818179</v>
      </c>
    </row>
    <row r="537" spans="1:7" ht="17.25" x14ac:dyDescent="0.3">
      <c r="A537" s="22" t="s">
        <v>161</v>
      </c>
      <c r="B537" s="22" t="s">
        <v>23</v>
      </c>
      <c r="C537" s="4" t="s">
        <v>342</v>
      </c>
      <c r="D537" s="4" t="s">
        <v>61</v>
      </c>
      <c r="E537" s="7">
        <v>45</v>
      </c>
      <c r="F537" s="5">
        <f>IFERROR(VLOOKUP(D537, Sheet2!$A:$C, 3, FALSE), 0)</f>
        <v>7363.6363636363631</v>
      </c>
      <c r="G537" s="6">
        <f t="shared" si="8"/>
        <v>331363.63636363635</v>
      </c>
    </row>
    <row r="538" spans="1:7" ht="17.25" x14ac:dyDescent="0.3">
      <c r="A538" s="22" t="s">
        <v>161</v>
      </c>
      <c r="B538" s="22" t="s">
        <v>23</v>
      </c>
      <c r="C538" s="4" t="s">
        <v>342</v>
      </c>
      <c r="D538" s="4" t="s">
        <v>61</v>
      </c>
      <c r="E538" s="7">
        <v>84</v>
      </c>
      <c r="F538" s="5">
        <f>IFERROR(VLOOKUP(D538, Sheet2!$A:$C, 3, FALSE), 0)</f>
        <v>7363.6363636363631</v>
      </c>
      <c r="G538" s="6">
        <f t="shared" si="8"/>
        <v>618545.45454545447</v>
      </c>
    </row>
    <row r="539" spans="1:7" ht="17.25" x14ac:dyDescent="0.3">
      <c r="A539" s="22" t="s">
        <v>161</v>
      </c>
      <c r="B539" s="22" t="s">
        <v>23</v>
      </c>
      <c r="C539" s="4" t="s">
        <v>342</v>
      </c>
      <c r="D539" s="4" t="s">
        <v>61</v>
      </c>
      <c r="E539" s="7">
        <v>63</v>
      </c>
      <c r="F539" s="5">
        <f>IFERROR(VLOOKUP(D539, Sheet2!$A:$C, 3, FALSE), 0)</f>
        <v>7363.6363636363631</v>
      </c>
      <c r="G539" s="6">
        <f t="shared" si="8"/>
        <v>463909.09090909088</v>
      </c>
    </row>
    <row r="540" spans="1:7" ht="17.25" x14ac:dyDescent="0.3">
      <c r="A540" s="22" t="s">
        <v>161</v>
      </c>
      <c r="B540" s="22" t="s">
        <v>29</v>
      </c>
      <c r="C540" s="4" t="s">
        <v>341</v>
      </c>
      <c r="D540" s="4" t="s">
        <v>110</v>
      </c>
      <c r="E540" s="7">
        <v>436</v>
      </c>
      <c r="F540" s="5">
        <f>IFERROR(VLOOKUP(D540, Sheet2!$A:$C, 3, FALSE), 0)</f>
        <v>2500</v>
      </c>
      <c r="G540" s="6">
        <f t="shared" ref="G540:G603" si="9">E540*F540</f>
        <v>1090000</v>
      </c>
    </row>
    <row r="541" spans="1:7" ht="17.25" x14ac:dyDescent="0.3">
      <c r="A541" s="22" t="s">
        <v>161</v>
      </c>
      <c r="B541" s="22" t="s">
        <v>93</v>
      </c>
      <c r="C541" s="4" t="s">
        <v>338</v>
      </c>
      <c r="D541" s="4" t="s">
        <v>36</v>
      </c>
      <c r="E541" s="7">
        <v>1193</v>
      </c>
      <c r="F541" s="5">
        <f>IFERROR(VLOOKUP(D541, Sheet2!$A:$C, 3, FALSE), 0)</f>
        <v>7899.9999999999991</v>
      </c>
      <c r="G541" s="6">
        <f t="shared" si="9"/>
        <v>9424699.9999999981</v>
      </c>
    </row>
    <row r="542" spans="1:7" ht="17.25" x14ac:dyDescent="0.3">
      <c r="A542" s="22" t="s">
        <v>161</v>
      </c>
      <c r="B542" s="22" t="s">
        <v>93</v>
      </c>
      <c r="C542" s="4" t="s">
        <v>342</v>
      </c>
      <c r="D542" s="4" t="s">
        <v>61</v>
      </c>
      <c r="E542" s="7">
        <v>366</v>
      </c>
      <c r="F542" s="5">
        <f>IFERROR(VLOOKUP(D542, Sheet2!$A:$C, 3, FALSE), 0)</f>
        <v>7363.6363636363631</v>
      </c>
      <c r="G542" s="6">
        <f t="shared" si="9"/>
        <v>2695090.9090909087</v>
      </c>
    </row>
    <row r="543" spans="1:7" ht="17.25" x14ac:dyDescent="0.3">
      <c r="A543" s="22" t="s">
        <v>161</v>
      </c>
      <c r="B543" s="22" t="s">
        <v>51</v>
      </c>
      <c r="C543" s="4" t="s">
        <v>344</v>
      </c>
      <c r="D543" s="4" t="s">
        <v>53</v>
      </c>
      <c r="E543" s="7">
        <v>798</v>
      </c>
      <c r="F543" s="5">
        <f>IFERROR(VLOOKUP(D543, Sheet2!$A:$C, 3, FALSE), 0)</f>
        <v>5818.181818181818</v>
      </c>
      <c r="G543" s="6">
        <f t="shared" si="9"/>
        <v>4642909.0909090908</v>
      </c>
    </row>
    <row r="544" spans="1:7" ht="17.25" x14ac:dyDescent="0.3">
      <c r="A544" s="23" t="s">
        <v>161</v>
      </c>
      <c r="B544" s="22" t="s">
        <v>95</v>
      </c>
      <c r="C544" s="4" t="s">
        <v>338</v>
      </c>
      <c r="D544" s="4" t="s">
        <v>36</v>
      </c>
      <c r="E544" s="7">
        <v>637</v>
      </c>
      <c r="F544" s="5">
        <f>IFERROR(VLOOKUP(D544, Sheet2!$A:$C, 3, FALSE), 0)</f>
        <v>7899.9999999999991</v>
      </c>
      <c r="G544" s="6">
        <f t="shared" si="9"/>
        <v>5032299.9999999991</v>
      </c>
    </row>
    <row r="545" spans="1:7" ht="17.25" x14ac:dyDescent="0.3">
      <c r="A545" s="23" t="s">
        <v>161</v>
      </c>
      <c r="B545" s="22" t="s">
        <v>95</v>
      </c>
      <c r="C545" s="4" t="s">
        <v>342</v>
      </c>
      <c r="D545" s="4" t="s">
        <v>61</v>
      </c>
      <c r="E545" s="7">
        <v>189</v>
      </c>
      <c r="F545" s="5">
        <f>IFERROR(VLOOKUP(D545, Sheet2!$A:$C, 3, FALSE), 0)</f>
        <v>7363.6363636363631</v>
      </c>
      <c r="G545" s="6">
        <f t="shared" si="9"/>
        <v>1391727.2727272727</v>
      </c>
    </row>
    <row r="546" spans="1:7" ht="17.25" x14ac:dyDescent="0.3">
      <c r="A546" s="22" t="s">
        <v>161</v>
      </c>
      <c r="B546" s="22" t="s">
        <v>24</v>
      </c>
      <c r="C546" s="4" t="s">
        <v>344</v>
      </c>
      <c r="D546" s="9" t="s">
        <v>22</v>
      </c>
      <c r="E546" s="10">
        <v>110</v>
      </c>
      <c r="F546" s="5">
        <f>IFERROR(VLOOKUP(D546, Sheet2!$A:$C, 3, FALSE), 0)</f>
        <v>5999.9999999999991</v>
      </c>
      <c r="G546" s="6">
        <f t="shared" si="9"/>
        <v>659999.99999999988</v>
      </c>
    </row>
    <row r="547" spans="1:7" ht="17.25" x14ac:dyDescent="0.3">
      <c r="A547" s="22" t="s">
        <v>161</v>
      </c>
      <c r="B547" s="22" t="s">
        <v>41</v>
      </c>
      <c r="C547" s="4" t="s">
        <v>341</v>
      </c>
      <c r="D547" s="4" t="s">
        <v>17</v>
      </c>
      <c r="E547" s="7">
        <v>204</v>
      </c>
      <c r="F547" s="5">
        <f>IFERROR(VLOOKUP(D547, Sheet2!$A:$C, 3, FALSE), 0)</f>
        <v>11700</v>
      </c>
      <c r="G547" s="6">
        <f t="shared" si="9"/>
        <v>2386800</v>
      </c>
    </row>
    <row r="548" spans="1:7" ht="17.25" x14ac:dyDescent="0.3">
      <c r="A548" s="22" t="s">
        <v>161</v>
      </c>
      <c r="B548" s="22" t="s">
        <v>41</v>
      </c>
      <c r="C548" s="4" t="s">
        <v>344</v>
      </c>
      <c r="D548" s="4" t="s">
        <v>163</v>
      </c>
      <c r="E548" s="7">
        <v>181</v>
      </c>
      <c r="F548" s="5">
        <f>IFERROR(VLOOKUP(D548, Sheet2!$A:$C, 3, FALSE), 0)</f>
        <v>5899.9999999999991</v>
      </c>
      <c r="G548" s="6">
        <f t="shared" si="9"/>
        <v>1067899.9999999998</v>
      </c>
    </row>
    <row r="549" spans="1:7" ht="17.25" x14ac:dyDescent="0.3">
      <c r="A549" s="22" t="s">
        <v>161</v>
      </c>
      <c r="B549" s="22" t="s">
        <v>18</v>
      </c>
      <c r="C549" s="4" t="s">
        <v>337</v>
      </c>
      <c r="D549" s="4" t="s">
        <v>6</v>
      </c>
      <c r="E549" s="7">
        <v>793</v>
      </c>
      <c r="F549" s="5">
        <f>IFERROR(VLOOKUP(D549, Sheet2!$A:$C, 3, FALSE), 0)</f>
        <v>14999.999999999998</v>
      </c>
      <c r="G549" s="6">
        <f t="shared" si="9"/>
        <v>11894999.999999998</v>
      </c>
    </row>
    <row r="550" spans="1:7" ht="17.25" x14ac:dyDescent="0.3">
      <c r="A550" s="22" t="s">
        <v>161</v>
      </c>
      <c r="B550" s="22" t="s">
        <v>31</v>
      </c>
      <c r="C550" s="4" t="s">
        <v>216</v>
      </c>
      <c r="D550" s="4" t="s">
        <v>37</v>
      </c>
      <c r="E550" s="7">
        <v>811</v>
      </c>
      <c r="F550" s="5">
        <f>IFERROR(VLOOKUP(D550, Sheet2!$A:$C, 3, FALSE), 0)</f>
        <v>6799.9999999999991</v>
      </c>
      <c r="G550" s="6">
        <f t="shared" si="9"/>
        <v>5514799.9999999991</v>
      </c>
    </row>
    <row r="551" spans="1:7" ht="17.25" x14ac:dyDescent="0.3">
      <c r="A551" s="22" t="s">
        <v>161</v>
      </c>
      <c r="B551" s="22" t="s">
        <v>31</v>
      </c>
      <c r="C551" s="4" t="s">
        <v>342</v>
      </c>
      <c r="D551" s="4" t="s">
        <v>35</v>
      </c>
      <c r="E551" s="7">
        <v>359</v>
      </c>
      <c r="F551" s="5">
        <f>IFERROR(VLOOKUP(D551, Sheet2!$A:$C, 3, FALSE), 0)</f>
        <v>8363.6363636363621</v>
      </c>
      <c r="G551" s="6">
        <f t="shared" si="9"/>
        <v>3002545.4545454541</v>
      </c>
    </row>
    <row r="552" spans="1:7" ht="17.25" x14ac:dyDescent="0.3">
      <c r="A552" s="22" t="s">
        <v>160</v>
      </c>
      <c r="B552" s="22" t="s">
        <v>69</v>
      </c>
      <c r="C552" s="4" t="s">
        <v>338</v>
      </c>
      <c r="D552" s="4" t="s">
        <v>36</v>
      </c>
      <c r="E552" s="7">
        <v>2740</v>
      </c>
      <c r="F552" s="5">
        <f>IFERROR(VLOOKUP(D552, Sheet2!$A:$C, 3, FALSE), 0)</f>
        <v>7899.9999999999991</v>
      </c>
      <c r="G552" s="6">
        <f t="shared" si="9"/>
        <v>21645999.999999996</v>
      </c>
    </row>
    <row r="553" spans="1:7" ht="17.25" x14ac:dyDescent="0.3">
      <c r="A553" s="23" t="s">
        <v>164</v>
      </c>
      <c r="B553" s="22" t="s">
        <v>11</v>
      </c>
      <c r="C553" s="4" t="s">
        <v>343</v>
      </c>
      <c r="D553" s="4" t="s">
        <v>109</v>
      </c>
      <c r="E553" s="7">
        <v>57</v>
      </c>
      <c r="F553" s="5">
        <f>IFERROR(VLOOKUP(D553, Sheet2!$A:$C, 3, FALSE), 0)</f>
        <v>10454.545454545454</v>
      </c>
      <c r="G553" s="6">
        <f t="shared" si="9"/>
        <v>595909.09090909082</v>
      </c>
    </row>
    <row r="554" spans="1:7" ht="17.25" x14ac:dyDescent="0.3">
      <c r="A554" s="22" t="s">
        <v>164</v>
      </c>
      <c r="B554" s="22" t="s">
        <v>11</v>
      </c>
      <c r="C554" s="4" t="s">
        <v>337</v>
      </c>
      <c r="D554" s="4" t="s">
        <v>79</v>
      </c>
      <c r="E554" s="7">
        <v>32</v>
      </c>
      <c r="F554" s="5">
        <f>IFERROR(VLOOKUP(D554, Sheet2!$A:$C, 3, FALSE), 0)</f>
        <v>21363.63636363636</v>
      </c>
      <c r="G554" s="6">
        <f t="shared" si="9"/>
        <v>683636.36363636353</v>
      </c>
    </row>
    <row r="555" spans="1:7" ht="17.25" x14ac:dyDescent="0.3">
      <c r="A555" s="23" t="s">
        <v>164</v>
      </c>
      <c r="B555" s="22" t="s">
        <v>8</v>
      </c>
      <c r="C555" s="4" t="s">
        <v>337</v>
      </c>
      <c r="D555" s="4" t="s">
        <v>78</v>
      </c>
      <c r="E555" s="7">
        <v>645</v>
      </c>
      <c r="F555" s="5">
        <f>IFERROR(VLOOKUP(D555, Sheet2!$A:$C, 3, FALSE), 0)</f>
        <v>14999.999999999998</v>
      </c>
      <c r="G555" s="6">
        <f t="shared" si="9"/>
        <v>9674999.9999999981</v>
      </c>
    </row>
    <row r="556" spans="1:7" ht="17.25" x14ac:dyDescent="0.3">
      <c r="A556" s="23" t="s">
        <v>164</v>
      </c>
      <c r="B556" s="22" t="s">
        <v>16</v>
      </c>
      <c r="C556" s="4" t="s">
        <v>216</v>
      </c>
      <c r="D556" s="4" t="s">
        <v>37</v>
      </c>
      <c r="E556" s="7">
        <v>814</v>
      </c>
      <c r="F556" s="5">
        <f>IFERROR(VLOOKUP(D556, Sheet2!$A:$C, 3, FALSE), 0)</f>
        <v>6799.9999999999991</v>
      </c>
      <c r="G556" s="6">
        <f t="shared" si="9"/>
        <v>5535199.9999999991</v>
      </c>
    </row>
    <row r="557" spans="1:7" ht="17.25" x14ac:dyDescent="0.3">
      <c r="A557" s="22" t="s">
        <v>164</v>
      </c>
      <c r="B557" s="22" t="s">
        <v>31</v>
      </c>
      <c r="C557" s="4" t="s">
        <v>337</v>
      </c>
      <c r="D557" s="4" t="s">
        <v>129</v>
      </c>
      <c r="E557" s="7">
        <v>854</v>
      </c>
      <c r="F557" s="5">
        <f>IFERROR(VLOOKUP(D557, Sheet2!$A:$C, 3, FALSE), 0)</f>
        <v>7199.9999999999991</v>
      </c>
      <c r="G557" s="6">
        <f t="shared" si="9"/>
        <v>6148799.9999999991</v>
      </c>
    </row>
    <row r="558" spans="1:7" ht="17.25" x14ac:dyDescent="0.3">
      <c r="A558" s="22" t="s">
        <v>164</v>
      </c>
      <c r="B558" s="22" t="s">
        <v>14</v>
      </c>
      <c r="C558" s="4" t="s">
        <v>344</v>
      </c>
      <c r="D558" s="4" t="s">
        <v>32</v>
      </c>
      <c r="E558" s="7">
        <v>331</v>
      </c>
      <c r="F558" s="5">
        <f>IFERROR(VLOOKUP(D558, Sheet2!$A:$C, 3, FALSE), 0)</f>
        <v>4363.6363636363631</v>
      </c>
      <c r="G558" s="6">
        <f t="shared" si="9"/>
        <v>1444363.6363636362</v>
      </c>
    </row>
    <row r="559" spans="1:7" ht="17.25" x14ac:dyDescent="0.3">
      <c r="A559" s="23" t="s">
        <v>164</v>
      </c>
      <c r="B559" s="22" t="s">
        <v>27</v>
      </c>
      <c r="C559" s="4" t="s">
        <v>341</v>
      </c>
      <c r="D559" s="4" t="s">
        <v>110</v>
      </c>
      <c r="E559" s="7">
        <v>557</v>
      </c>
      <c r="F559" s="5">
        <f>IFERROR(VLOOKUP(D559, Sheet2!$A:$C, 3, FALSE), 0)</f>
        <v>2500</v>
      </c>
      <c r="G559" s="6">
        <f t="shared" si="9"/>
        <v>1392500</v>
      </c>
    </row>
    <row r="560" spans="1:7" ht="17.25" x14ac:dyDescent="0.3">
      <c r="A560" s="23" t="s">
        <v>164</v>
      </c>
      <c r="B560" s="22" t="s">
        <v>150</v>
      </c>
      <c r="C560" s="4" t="s">
        <v>344</v>
      </c>
      <c r="D560" s="4" t="s">
        <v>156</v>
      </c>
      <c r="E560" s="7">
        <v>266</v>
      </c>
      <c r="F560" s="5">
        <f>IFERROR(VLOOKUP(D560, Sheet2!$A:$C, 3, FALSE), 0)</f>
        <v>3454.545454545454</v>
      </c>
      <c r="G560" s="6">
        <f t="shared" si="9"/>
        <v>918909.09090909082</v>
      </c>
    </row>
    <row r="561" spans="1:7" ht="17.25" x14ac:dyDescent="0.3">
      <c r="A561" s="22" t="s">
        <v>164</v>
      </c>
      <c r="B561" s="22" t="s">
        <v>23</v>
      </c>
      <c r="C561" s="4" t="s">
        <v>342</v>
      </c>
      <c r="D561" s="4" t="s">
        <v>61</v>
      </c>
      <c r="E561" s="7">
        <v>107</v>
      </c>
      <c r="F561" s="5">
        <f>IFERROR(VLOOKUP(D561, Sheet2!$A:$C, 3, FALSE), 0)</f>
        <v>7363.6363636363631</v>
      </c>
      <c r="G561" s="6">
        <f t="shared" si="9"/>
        <v>787909.09090909082</v>
      </c>
    </row>
    <row r="562" spans="1:7" ht="17.25" x14ac:dyDescent="0.3">
      <c r="A562" s="22" t="s">
        <v>164</v>
      </c>
      <c r="B562" s="22" t="s">
        <v>29</v>
      </c>
      <c r="C562" s="4" t="s">
        <v>341</v>
      </c>
      <c r="D562" s="4" t="s">
        <v>110</v>
      </c>
      <c r="E562" s="7">
        <v>409</v>
      </c>
      <c r="F562" s="5">
        <f>IFERROR(VLOOKUP(D562, Sheet2!$A:$C, 3, FALSE), 0)</f>
        <v>2500</v>
      </c>
      <c r="G562" s="6">
        <f t="shared" si="9"/>
        <v>1022500</v>
      </c>
    </row>
    <row r="563" spans="1:7" ht="17.25" x14ac:dyDescent="0.3">
      <c r="A563" s="22" t="s">
        <v>164</v>
      </c>
      <c r="B563" s="22" t="s">
        <v>25</v>
      </c>
      <c r="C563" s="4" t="s">
        <v>337</v>
      </c>
      <c r="D563" s="4" t="s">
        <v>78</v>
      </c>
      <c r="E563" s="7">
        <v>1258</v>
      </c>
      <c r="F563" s="5">
        <f>IFERROR(VLOOKUP(D563, Sheet2!$A:$C, 3, FALSE), 0)</f>
        <v>14999.999999999998</v>
      </c>
      <c r="G563" s="6">
        <f t="shared" si="9"/>
        <v>18869999.999999996</v>
      </c>
    </row>
    <row r="564" spans="1:7" ht="17.25" x14ac:dyDescent="0.3">
      <c r="A564" s="22" t="s">
        <v>164</v>
      </c>
      <c r="B564" s="22" t="s">
        <v>25</v>
      </c>
      <c r="C564" s="4" t="s">
        <v>337</v>
      </c>
      <c r="D564" s="4" t="s">
        <v>79</v>
      </c>
      <c r="E564" s="7">
        <v>431</v>
      </c>
      <c r="F564" s="5">
        <f>IFERROR(VLOOKUP(D564, Sheet2!$A:$C, 3, FALSE), 0)</f>
        <v>21363.63636363636</v>
      </c>
      <c r="G564" s="6">
        <f t="shared" si="9"/>
        <v>9207727.2727272715</v>
      </c>
    </row>
    <row r="565" spans="1:7" ht="17.25" x14ac:dyDescent="0.3">
      <c r="A565" s="22" t="s">
        <v>164</v>
      </c>
      <c r="B565" s="22" t="s">
        <v>69</v>
      </c>
      <c r="C565" s="4" t="s">
        <v>338</v>
      </c>
      <c r="D565" s="4" t="s">
        <v>36</v>
      </c>
      <c r="E565" s="7">
        <v>939</v>
      </c>
      <c r="F565" s="5">
        <f>IFERROR(VLOOKUP(D565, Sheet2!$A:$C, 3, FALSE), 0)</f>
        <v>7899.9999999999991</v>
      </c>
      <c r="G565" s="6">
        <f t="shared" si="9"/>
        <v>7418099.9999999991</v>
      </c>
    </row>
    <row r="566" spans="1:7" ht="17.25" x14ac:dyDescent="0.3">
      <c r="A566" s="22" t="s">
        <v>164</v>
      </c>
      <c r="B566" s="22" t="s">
        <v>69</v>
      </c>
      <c r="C566" s="4" t="s">
        <v>344</v>
      </c>
      <c r="D566" s="4" t="s">
        <v>22</v>
      </c>
      <c r="E566" s="7">
        <v>408</v>
      </c>
      <c r="F566" s="5">
        <f>IFERROR(VLOOKUP(D566, Sheet2!$A:$C, 3, FALSE), 0)</f>
        <v>5999.9999999999991</v>
      </c>
      <c r="G566" s="6">
        <f t="shared" si="9"/>
        <v>2447999.9999999995</v>
      </c>
    </row>
    <row r="567" spans="1:7" ht="17.25" x14ac:dyDescent="0.3">
      <c r="A567" s="22" t="s">
        <v>165</v>
      </c>
      <c r="B567" s="22" t="s">
        <v>43</v>
      </c>
      <c r="C567" s="4" t="s">
        <v>337</v>
      </c>
      <c r="D567" s="4" t="s">
        <v>113</v>
      </c>
      <c r="E567" s="7">
        <v>755</v>
      </c>
      <c r="F567" s="5">
        <f>IFERROR(VLOOKUP(D567, Sheet2!$A:$C, 3, FALSE), 0)</f>
        <v>20727.272727272724</v>
      </c>
      <c r="G567" s="6">
        <f t="shared" si="9"/>
        <v>15649090.909090906</v>
      </c>
    </row>
    <row r="568" spans="1:7" ht="17.25" x14ac:dyDescent="0.3">
      <c r="A568" s="22" t="s">
        <v>165</v>
      </c>
      <c r="B568" s="22" t="s">
        <v>43</v>
      </c>
      <c r="C568" s="4" t="s">
        <v>344</v>
      </c>
      <c r="D568" s="4" t="s">
        <v>22</v>
      </c>
      <c r="E568" s="7">
        <v>209</v>
      </c>
      <c r="F568" s="5">
        <f>IFERROR(VLOOKUP(D568, Sheet2!$A:$C, 3, FALSE), 0)</f>
        <v>5999.9999999999991</v>
      </c>
      <c r="G568" s="6">
        <f t="shared" si="9"/>
        <v>1253999.9999999998</v>
      </c>
    </row>
    <row r="569" spans="1:7" ht="17.25" x14ac:dyDescent="0.3">
      <c r="A569" s="22" t="s">
        <v>165</v>
      </c>
      <c r="B569" s="22" t="s">
        <v>23</v>
      </c>
      <c r="C569" s="4" t="s">
        <v>340</v>
      </c>
      <c r="D569" s="4" t="s">
        <v>49</v>
      </c>
      <c r="E569" s="7">
        <v>180</v>
      </c>
      <c r="F569" s="5">
        <f>IFERROR(VLOOKUP(D569, Sheet2!$A:$C, 3, FALSE), 0)</f>
        <v>38000</v>
      </c>
      <c r="G569" s="6">
        <f t="shared" si="9"/>
        <v>6840000</v>
      </c>
    </row>
    <row r="570" spans="1:7" ht="17.25" x14ac:dyDescent="0.3">
      <c r="A570" s="22" t="s">
        <v>166</v>
      </c>
      <c r="B570" s="22" t="s">
        <v>11</v>
      </c>
      <c r="C570" s="4" t="s">
        <v>344</v>
      </c>
      <c r="D570" s="4" t="s">
        <v>120</v>
      </c>
      <c r="E570" s="7">
        <v>424</v>
      </c>
      <c r="F570" s="5">
        <f>IFERROR(VLOOKUP(D570, Sheet2!$A:$C, 3, FALSE), 0)</f>
        <v>6272.7272727272721</v>
      </c>
      <c r="G570" s="6">
        <f t="shared" si="9"/>
        <v>2659636.3636363633</v>
      </c>
    </row>
    <row r="571" spans="1:7" ht="17.25" x14ac:dyDescent="0.3">
      <c r="A571" s="23" t="s">
        <v>166</v>
      </c>
      <c r="B571" s="22" t="s">
        <v>11</v>
      </c>
      <c r="C571" s="4" t="s">
        <v>339</v>
      </c>
      <c r="D571" s="4" t="s">
        <v>89</v>
      </c>
      <c r="E571" s="7">
        <v>1920</v>
      </c>
      <c r="F571" s="5">
        <f>IFERROR(VLOOKUP(D571, Sheet2!$A:$C, 3, FALSE), 0)</f>
        <v>5000</v>
      </c>
      <c r="G571" s="6">
        <f t="shared" si="9"/>
        <v>9600000</v>
      </c>
    </row>
    <row r="572" spans="1:7" ht="17.25" x14ac:dyDescent="0.3">
      <c r="A572" s="23" t="s">
        <v>166</v>
      </c>
      <c r="B572" s="22" t="s">
        <v>16</v>
      </c>
      <c r="C572" s="4" t="s">
        <v>216</v>
      </c>
      <c r="D572" s="4" t="s">
        <v>37</v>
      </c>
      <c r="E572" s="7">
        <v>850</v>
      </c>
      <c r="F572" s="5">
        <f>IFERROR(VLOOKUP(D572, Sheet2!$A:$C, 3, FALSE), 0)</f>
        <v>6799.9999999999991</v>
      </c>
      <c r="G572" s="6">
        <f t="shared" si="9"/>
        <v>5779999.9999999991</v>
      </c>
    </row>
    <row r="573" spans="1:7" ht="17.25" x14ac:dyDescent="0.3">
      <c r="A573" s="23" t="s">
        <v>166</v>
      </c>
      <c r="B573" s="22" t="s">
        <v>14</v>
      </c>
      <c r="C573" s="4" t="s">
        <v>343</v>
      </c>
      <c r="D573" s="4" t="s">
        <v>45</v>
      </c>
      <c r="E573" s="7">
        <v>560</v>
      </c>
      <c r="F573" s="5">
        <f>IFERROR(VLOOKUP(D573, Sheet2!$A:$C, 3, FALSE), 0)</f>
        <v>10909.090909090908</v>
      </c>
      <c r="G573" s="6">
        <f t="shared" si="9"/>
        <v>6109090.9090909082</v>
      </c>
    </row>
    <row r="574" spans="1:7" ht="17.25" x14ac:dyDescent="0.3">
      <c r="A574" s="23" t="s">
        <v>166</v>
      </c>
      <c r="B574" s="22" t="s">
        <v>102</v>
      </c>
      <c r="C574" s="4" t="s">
        <v>342</v>
      </c>
      <c r="D574" s="4" t="s">
        <v>61</v>
      </c>
      <c r="E574" s="7">
        <v>169</v>
      </c>
      <c r="F574" s="5">
        <f>IFERROR(VLOOKUP(D574, Sheet2!$A:$C, 3, FALSE), 0)</f>
        <v>7363.6363636363631</v>
      </c>
      <c r="G574" s="6">
        <f t="shared" si="9"/>
        <v>1244454.5454545454</v>
      </c>
    </row>
    <row r="575" spans="1:7" ht="17.25" x14ac:dyDescent="0.3">
      <c r="A575" s="23" t="s">
        <v>166</v>
      </c>
      <c r="B575" s="22" t="s">
        <v>102</v>
      </c>
      <c r="C575" s="4" t="s">
        <v>337</v>
      </c>
      <c r="D575" s="4" t="s">
        <v>83</v>
      </c>
      <c r="E575" s="7">
        <v>362</v>
      </c>
      <c r="F575" s="5">
        <f>IFERROR(VLOOKUP(D575, Sheet2!$A:$C, 3, FALSE), 0)</f>
        <v>7636.363636363636</v>
      </c>
      <c r="G575" s="6">
        <f t="shared" si="9"/>
        <v>2764363.6363636362</v>
      </c>
    </row>
    <row r="576" spans="1:7" ht="17.25" x14ac:dyDescent="0.3">
      <c r="A576" s="23" t="s">
        <v>166</v>
      </c>
      <c r="B576" s="22" t="s">
        <v>150</v>
      </c>
      <c r="C576" s="4" t="s">
        <v>344</v>
      </c>
      <c r="D576" s="4" t="s">
        <v>156</v>
      </c>
      <c r="E576" s="7">
        <v>393</v>
      </c>
      <c r="F576" s="5">
        <f>IFERROR(VLOOKUP(D576, Sheet2!$A:$C, 3, FALSE), 0)</f>
        <v>3454.545454545454</v>
      </c>
      <c r="G576" s="6">
        <f t="shared" si="9"/>
        <v>1357636.3636363635</v>
      </c>
    </row>
    <row r="577" spans="1:7" ht="17.25" x14ac:dyDescent="0.3">
      <c r="A577" s="23" t="s">
        <v>166</v>
      </c>
      <c r="B577" s="22" t="s">
        <v>150</v>
      </c>
      <c r="C577" s="4" t="s">
        <v>342</v>
      </c>
      <c r="D577" s="4" t="s">
        <v>61</v>
      </c>
      <c r="E577" s="7">
        <v>479</v>
      </c>
      <c r="F577" s="5">
        <f>IFERROR(VLOOKUP(D577, Sheet2!$A:$C, 3, FALSE), 0)</f>
        <v>7363.6363636363631</v>
      </c>
      <c r="G577" s="6">
        <f t="shared" si="9"/>
        <v>3527181.8181818179</v>
      </c>
    </row>
    <row r="578" spans="1:7" ht="17.25" x14ac:dyDescent="0.3">
      <c r="A578" s="22" t="s">
        <v>165</v>
      </c>
      <c r="B578" s="22" t="s">
        <v>93</v>
      </c>
      <c r="C578" s="4" t="s">
        <v>342</v>
      </c>
      <c r="D578" s="4" t="s">
        <v>61</v>
      </c>
      <c r="E578" s="7">
        <v>530</v>
      </c>
      <c r="F578" s="5">
        <f>IFERROR(VLOOKUP(D578, Sheet2!$A:$C, 3, FALSE), 0)</f>
        <v>7363.6363636363631</v>
      </c>
      <c r="G578" s="6">
        <f t="shared" si="9"/>
        <v>3902727.2727272725</v>
      </c>
    </row>
    <row r="579" spans="1:7" ht="17.25" x14ac:dyDescent="0.3">
      <c r="A579" s="23" t="s">
        <v>166</v>
      </c>
      <c r="B579" s="22" t="s">
        <v>95</v>
      </c>
      <c r="C579" s="4" t="s">
        <v>342</v>
      </c>
      <c r="D579" s="4" t="s">
        <v>61</v>
      </c>
      <c r="E579" s="7">
        <v>328</v>
      </c>
      <c r="F579" s="5">
        <f>IFERROR(VLOOKUP(D579, Sheet2!$A:$C, 3, FALSE), 0)</f>
        <v>7363.6363636363631</v>
      </c>
      <c r="G579" s="6">
        <f t="shared" si="9"/>
        <v>2415272.7272727271</v>
      </c>
    </row>
    <row r="580" spans="1:7" ht="17.25" x14ac:dyDescent="0.3">
      <c r="A580" s="22" t="s">
        <v>166</v>
      </c>
      <c r="B580" s="22" t="s">
        <v>41</v>
      </c>
      <c r="C580" s="4" t="s">
        <v>341</v>
      </c>
      <c r="D580" s="4" t="s">
        <v>17</v>
      </c>
      <c r="E580" s="7">
        <v>57</v>
      </c>
      <c r="F580" s="5">
        <f>IFERROR(VLOOKUP(D580, Sheet2!$A:$C, 3, FALSE), 0)</f>
        <v>11700</v>
      </c>
      <c r="G580" s="6">
        <f t="shared" si="9"/>
        <v>666900</v>
      </c>
    </row>
    <row r="581" spans="1:7" ht="17.25" x14ac:dyDescent="0.3">
      <c r="A581" s="22" t="s">
        <v>166</v>
      </c>
      <c r="B581" s="22" t="s">
        <v>25</v>
      </c>
      <c r="C581" s="4" t="s">
        <v>344</v>
      </c>
      <c r="D581" s="4" t="s">
        <v>53</v>
      </c>
      <c r="E581" s="7">
        <v>841</v>
      </c>
      <c r="F581" s="5">
        <f>IFERROR(VLOOKUP(D581, Sheet2!$A:$C, 3, FALSE), 0)</f>
        <v>5818.181818181818</v>
      </c>
      <c r="G581" s="6">
        <f t="shared" si="9"/>
        <v>4893090.9090909092</v>
      </c>
    </row>
    <row r="582" spans="1:7" ht="17.25" x14ac:dyDescent="0.3">
      <c r="A582" s="22" t="s">
        <v>166</v>
      </c>
      <c r="B582" s="22" t="s">
        <v>69</v>
      </c>
      <c r="C582" s="4" t="s">
        <v>344</v>
      </c>
      <c r="D582" s="4" t="s">
        <v>22</v>
      </c>
      <c r="E582" s="7">
        <v>172</v>
      </c>
      <c r="F582" s="5">
        <f>IFERROR(VLOOKUP(D582, Sheet2!$A:$C, 3, FALSE), 0)</f>
        <v>5999.9999999999991</v>
      </c>
      <c r="G582" s="6">
        <f t="shared" si="9"/>
        <v>1031999.9999999999</v>
      </c>
    </row>
    <row r="583" spans="1:7" ht="17.25" x14ac:dyDescent="0.3">
      <c r="A583" s="22" t="s">
        <v>166</v>
      </c>
      <c r="B583" s="22" t="s">
        <v>33</v>
      </c>
      <c r="C583" s="4" t="s">
        <v>344</v>
      </c>
      <c r="D583" s="4" t="s">
        <v>44</v>
      </c>
      <c r="E583" s="7">
        <v>122</v>
      </c>
      <c r="F583" s="5">
        <f>IFERROR(VLOOKUP(D583, Sheet2!$A:$C, 3, FALSE), 0)</f>
        <v>5909.090909090909</v>
      </c>
      <c r="G583" s="6">
        <f t="shared" si="9"/>
        <v>720909.09090909094</v>
      </c>
    </row>
    <row r="584" spans="1:7" ht="17.25" x14ac:dyDescent="0.3">
      <c r="A584" s="23" t="s">
        <v>167</v>
      </c>
      <c r="B584" s="22" t="s">
        <v>75</v>
      </c>
      <c r="C584" s="4" t="s">
        <v>344</v>
      </c>
      <c r="D584" s="4" t="s">
        <v>39</v>
      </c>
      <c r="E584" s="7">
        <v>310</v>
      </c>
      <c r="F584" s="5">
        <f>IFERROR(VLOOKUP(D584, Sheet2!$A:$C, 3, FALSE), 0)</f>
        <v>3863.6363636363635</v>
      </c>
      <c r="G584" s="6">
        <f t="shared" si="9"/>
        <v>1197727.2727272727</v>
      </c>
    </row>
    <row r="585" spans="1:7" ht="17.25" x14ac:dyDescent="0.3">
      <c r="A585" s="23" t="s">
        <v>167</v>
      </c>
      <c r="B585" s="22" t="s">
        <v>48</v>
      </c>
      <c r="C585" s="4" t="s">
        <v>344</v>
      </c>
      <c r="D585" s="4" t="s">
        <v>22</v>
      </c>
      <c r="E585" s="7">
        <v>258</v>
      </c>
      <c r="F585" s="5">
        <f>IFERROR(VLOOKUP(D585, Sheet2!$A:$C, 3, FALSE), 0)</f>
        <v>5999.9999999999991</v>
      </c>
      <c r="G585" s="6">
        <f t="shared" si="9"/>
        <v>1547999.9999999998</v>
      </c>
    </row>
    <row r="586" spans="1:7" ht="17.25" x14ac:dyDescent="0.3">
      <c r="A586" s="23" t="s">
        <v>167</v>
      </c>
      <c r="B586" s="22" t="s">
        <v>60</v>
      </c>
      <c r="C586" s="4" t="s">
        <v>343</v>
      </c>
      <c r="D586" s="4" t="s">
        <v>168</v>
      </c>
      <c r="E586" s="7">
        <v>100</v>
      </c>
      <c r="F586" s="5">
        <f>IFERROR(VLOOKUP(D586, Sheet2!$A:$C, 3, FALSE), 0)</f>
        <v>27999.999999999996</v>
      </c>
      <c r="G586" s="6">
        <f t="shared" si="9"/>
        <v>2799999.9999999995</v>
      </c>
    </row>
    <row r="587" spans="1:7" ht="17.25" x14ac:dyDescent="0.3">
      <c r="A587" s="23" t="s">
        <v>167</v>
      </c>
      <c r="B587" s="22" t="s">
        <v>27</v>
      </c>
      <c r="C587" s="4" t="s">
        <v>341</v>
      </c>
      <c r="D587" s="4" t="s">
        <v>110</v>
      </c>
      <c r="E587" s="7">
        <v>367</v>
      </c>
      <c r="F587" s="5">
        <f>IFERROR(VLOOKUP(D587, Sheet2!$A:$C, 3, FALSE), 0)</f>
        <v>2500</v>
      </c>
      <c r="G587" s="6">
        <f t="shared" si="9"/>
        <v>917500</v>
      </c>
    </row>
    <row r="588" spans="1:7" ht="17.25" x14ac:dyDescent="0.3">
      <c r="A588" s="22" t="s">
        <v>167</v>
      </c>
      <c r="B588" s="22" t="s">
        <v>24</v>
      </c>
      <c r="C588" s="4" t="s">
        <v>341</v>
      </c>
      <c r="D588" s="4" t="s">
        <v>68</v>
      </c>
      <c r="E588" s="7">
        <v>130</v>
      </c>
      <c r="F588" s="5">
        <f>IFERROR(VLOOKUP(D588, Sheet2!$A:$C, 3, FALSE), 0)</f>
        <v>13400</v>
      </c>
      <c r="G588" s="6">
        <f t="shared" si="9"/>
        <v>1742000</v>
      </c>
    </row>
    <row r="589" spans="1:7" ht="17.25" x14ac:dyDescent="0.3">
      <c r="A589" s="22" t="s">
        <v>167</v>
      </c>
      <c r="B589" s="22" t="s">
        <v>43</v>
      </c>
      <c r="C589" s="4" t="s">
        <v>344</v>
      </c>
      <c r="D589" s="4" t="s">
        <v>22</v>
      </c>
      <c r="E589" s="7">
        <v>108</v>
      </c>
      <c r="F589" s="5">
        <f>IFERROR(VLOOKUP(D589, Sheet2!$A:$C, 3, FALSE), 0)</f>
        <v>5999.9999999999991</v>
      </c>
      <c r="G589" s="6">
        <f t="shared" si="9"/>
        <v>647999.99999999988</v>
      </c>
    </row>
    <row r="590" spans="1:7" ht="17.25" x14ac:dyDescent="0.3">
      <c r="A590" s="23" t="s">
        <v>169</v>
      </c>
      <c r="B590" s="22" t="s">
        <v>48</v>
      </c>
      <c r="C590" s="4" t="s">
        <v>344</v>
      </c>
      <c r="D590" s="4" t="s">
        <v>22</v>
      </c>
      <c r="E590" s="7">
        <v>205</v>
      </c>
      <c r="F590" s="5">
        <f>IFERROR(VLOOKUP(D590, Sheet2!$A:$C, 3, FALSE), 0)</f>
        <v>5999.9999999999991</v>
      </c>
      <c r="G590" s="6">
        <f t="shared" si="9"/>
        <v>1229999.9999999998</v>
      </c>
    </row>
    <row r="591" spans="1:7" ht="17.25" x14ac:dyDescent="0.3">
      <c r="A591" s="23" t="s">
        <v>169</v>
      </c>
      <c r="B591" s="22" t="s">
        <v>19</v>
      </c>
      <c r="C591" s="4" t="s">
        <v>216</v>
      </c>
      <c r="D591" s="4" t="s">
        <v>84</v>
      </c>
      <c r="E591" s="7">
        <v>211</v>
      </c>
      <c r="F591" s="5">
        <f>IFERROR(VLOOKUP(D591, Sheet2!$A:$C, 3, FALSE), 0)</f>
        <v>2090.9090909090905</v>
      </c>
      <c r="G591" s="6">
        <f t="shared" si="9"/>
        <v>441181.81818181812</v>
      </c>
    </row>
    <row r="592" spans="1:7" ht="17.25" x14ac:dyDescent="0.3">
      <c r="A592" s="23" t="s">
        <v>169</v>
      </c>
      <c r="B592" s="22" t="s">
        <v>46</v>
      </c>
      <c r="C592" s="4" t="s">
        <v>338</v>
      </c>
      <c r="D592" s="4" t="s">
        <v>36</v>
      </c>
      <c r="E592" s="7">
        <v>799</v>
      </c>
      <c r="F592" s="5">
        <f>IFERROR(VLOOKUP(D592, Sheet2!$A:$C, 3, FALSE), 0)</f>
        <v>7899.9999999999991</v>
      </c>
      <c r="G592" s="6">
        <f t="shared" si="9"/>
        <v>6312099.9999999991</v>
      </c>
    </row>
    <row r="593" spans="1:7" ht="17.25" x14ac:dyDescent="0.3">
      <c r="A593" s="23" t="s">
        <v>169</v>
      </c>
      <c r="B593" s="22" t="s">
        <v>150</v>
      </c>
      <c r="C593" s="4" t="s">
        <v>344</v>
      </c>
      <c r="D593" s="4" t="s">
        <v>151</v>
      </c>
      <c r="E593" s="7">
        <v>7919</v>
      </c>
      <c r="F593" s="5">
        <f>IFERROR(VLOOKUP(D593, Sheet2!$A:$C, 3, FALSE), 0)</f>
        <v>727.27272727272725</v>
      </c>
      <c r="G593" s="6">
        <f t="shared" si="9"/>
        <v>5759272.7272727275</v>
      </c>
    </row>
    <row r="594" spans="1:7" ht="17.25" x14ac:dyDescent="0.3">
      <c r="A594" s="22" t="s">
        <v>169</v>
      </c>
      <c r="B594" s="22" t="s">
        <v>29</v>
      </c>
      <c r="C594" s="4" t="s">
        <v>341</v>
      </c>
      <c r="D594" s="4" t="s">
        <v>110</v>
      </c>
      <c r="E594" s="7">
        <v>287</v>
      </c>
      <c r="F594" s="5">
        <f>IFERROR(VLOOKUP(D594, Sheet2!$A:$C, 3, FALSE), 0)</f>
        <v>2500</v>
      </c>
      <c r="G594" s="6">
        <f t="shared" si="9"/>
        <v>717500</v>
      </c>
    </row>
    <row r="595" spans="1:7" ht="17.25" x14ac:dyDescent="0.3">
      <c r="A595" s="22" t="s">
        <v>169</v>
      </c>
      <c r="B595" s="22" t="s">
        <v>24</v>
      </c>
      <c r="C595" s="4" t="s">
        <v>338</v>
      </c>
      <c r="D595" s="4" t="s">
        <v>36</v>
      </c>
      <c r="E595" s="7">
        <v>290</v>
      </c>
      <c r="F595" s="5">
        <f>IFERROR(VLOOKUP(D595, Sheet2!$A:$C, 3, FALSE), 0)</f>
        <v>7899.9999999999991</v>
      </c>
      <c r="G595" s="6">
        <f t="shared" si="9"/>
        <v>2290999.9999999995</v>
      </c>
    </row>
    <row r="596" spans="1:7" ht="17.25" x14ac:dyDescent="0.3">
      <c r="A596" s="22" t="s">
        <v>169</v>
      </c>
      <c r="B596" s="22" t="s">
        <v>24</v>
      </c>
      <c r="C596" s="4" t="s">
        <v>344</v>
      </c>
      <c r="D596" s="9" t="s">
        <v>22</v>
      </c>
      <c r="E596" s="10">
        <v>551</v>
      </c>
      <c r="F596" s="5">
        <f>IFERROR(VLOOKUP(D596, Sheet2!$A:$C, 3, FALSE), 0)</f>
        <v>5999.9999999999991</v>
      </c>
      <c r="G596" s="6">
        <f t="shared" si="9"/>
        <v>3305999.9999999995</v>
      </c>
    </row>
    <row r="597" spans="1:7" ht="17.25" x14ac:dyDescent="0.3">
      <c r="A597" s="22" t="s">
        <v>169</v>
      </c>
      <c r="B597" s="22" t="s">
        <v>41</v>
      </c>
      <c r="C597" s="4" t="s">
        <v>341</v>
      </c>
      <c r="D597" s="4" t="s">
        <v>17</v>
      </c>
      <c r="E597" s="7">
        <v>76</v>
      </c>
      <c r="F597" s="5">
        <f>IFERROR(VLOOKUP(D597, Sheet2!$A:$C, 3, FALSE), 0)</f>
        <v>11700</v>
      </c>
      <c r="G597" s="6">
        <f t="shared" si="9"/>
        <v>889200</v>
      </c>
    </row>
    <row r="598" spans="1:7" ht="17.25" x14ac:dyDescent="0.3">
      <c r="A598" s="22" t="s">
        <v>169</v>
      </c>
      <c r="B598" s="22" t="s">
        <v>41</v>
      </c>
      <c r="C598" s="4" t="s">
        <v>342</v>
      </c>
      <c r="D598" s="4" t="s">
        <v>61</v>
      </c>
      <c r="E598" s="7">
        <v>37</v>
      </c>
      <c r="F598" s="5">
        <f>IFERROR(VLOOKUP(D598, Sheet2!$A:$C, 3, FALSE), 0)</f>
        <v>7363.6363636363631</v>
      </c>
      <c r="G598" s="6">
        <f t="shared" si="9"/>
        <v>272454.54545454541</v>
      </c>
    </row>
    <row r="599" spans="1:7" ht="17.25" x14ac:dyDescent="0.3">
      <c r="A599" s="22" t="s">
        <v>169</v>
      </c>
      <c r="B599" s="22" t="s">
        <v>99</v>
      </c>
      <c r="C599" s="4" t="s">
        <v>342</v>
      </c>
      <c r="D599" s="4" t="s">
        <v>35</v>
      </c>
      <c r="E599" s="7">
        <v>157</v>
      </c>
      <c r="F599" s="5">
        <f>IFERROR(VLOOKUP(D599, Sheet2!$A:$C, 3, FALSE), 0)</f>
        <v>8363.6363636363621</v>
      </c>
      <c r="G599" s="6">
        <f t="shared" si="9"/>
        <v>1313090.9090909089</v>
      </c>
    </row>
    <row r="600" spans="1:7" ht="17.25" x14ac:dyDescent="0.3">
      <c r="A600" s="22" t="s">
        <v>169</v>
      </c>
      <c r="B600" s="22" t="s">
        <v>43</v>
      </c>
      <c r="C600" s="4" t="s">
        <v>344</v>
      </c>
      <c r="D600" s="4" t="s">
        <v>53</v>
      </c>
      <c r="E600" s="7">
        <v>244</v>
      </c>
      <c r="F600" s="5">
        <f>IFERROR(VLOOKUP(D600, Sheet2!$A:$C, 3, FALSE), 0)</f>
        <v>5818.181818181818</v>
      </c>
      <c r="G600" s="6">
        <f t="shared" si="9"/>
        <v>1419636.3636363635</v>
      </c>
    </row>
    <row r="601" spans="1:7" ht="17.25" x14ac:dyDescent="0.3">
      <c r="A601" s="22" t="s">
        <v>169</v>
      </c>
      <c r="B601" s="22" t="s">
        <v>31</v>
      </c>
      <c r="C601" s="4" t="s">
        <v>344</v>
      </c>
      <c r="D601" s="4" t="s">
        <v>32</v>
      </c>
      <c r="E601" s="7">
        <v>583</v>
      </c>
      <c r="F601" s="5">
        <f>IFERROR(VLOOKUP(D601, Sheet2!$A:$C, 3, FALSE), 0)</f>
        <v>4363.6363636363631</v>
      </c>
      <c r="G601" s="6">
        <f t="shared" si="9"/>
        <v>2543999.9999999995</v>
      </c>
    </row>
    <row r="602" spans="1:7" ht="17.25" x14ac:dyDescent="0.3">
      <c r="A602" s="22" t="s">
        <v>169</v>
      </c>
      <c r="B602" s="22" t="s">
        <v>33</v>
      </c>
      <c r="C602" s="4" t="s">
        <v>342</v>
      </c>
      <c r="D602" s="4" t="s">
        <v>61</v>
      </c>
      <c r="E602" s="7">
        <v>73</v>
      </c>
      <c r="F602" s="5">
        <f>IFERROR(VLOOKUP(D602, Sheet2!$A:$C, 3, FALSE), 0)</f>
        <v>7363.6363636363631</v>
      </c>
      <c r="G602" s="6">
        <f t="shared" si="9"/>
        <v>537545.45454545447</v>
      </c>
    </row>
    <row r="603" spans="1:7" ht="17.25" x14ac:dyDescent="0.3">
      <c r="A603" s="23" t="s">
        <v>170</v>
      </c>
      <c r="B603" s="22" t="s">
        <v>19</v>
      </c>
      <c r="C603" s="4" t="s">
        <v>216</v>
      </c>
      <c r="D603" s="4" t="s">
        <v>84</v>
      </c>
      <c r="E603" s="7">
        <v>205</v>
      </c>
      <c r="F603" s="5">
        <f>IFERROR(VLOOKUP(D603, Sheet2!$A:$C, 3, FALSE), 0)</f>
        <v>2090.9090909090905</v>
      </c>
      <c r="G603" s="6">
        <f t="shared" si="9"/>
        <v>428636.36363636359</v>
      </c>
    </row>
    <row r="604" spans="1:7" ht="17.25" x14ac:dyDescent="0.3">
      <c r="A604" s="23" t="s">
        <v>170</v>
      </c>
      <c r="B604" s="22" t="s">
        <v>27</v>
      </c>
      <c r="C604" s="4" t="s">
        <v>341</v>
      </c>
      <c r="D604" s="4" t="s">
        <v>110</v>
      </c>
      <c r="E604" s="7">
        <v>584</v>
      </c>
      <c r="F604" s="5">
        <f>IFERROR(VLOOKUP(D604, Sheet2!$A:$C, 3, FALSE), 0)</f>
        <v>2500</v>
      </c>
      <c r="G604" s="6">
        <f t="shared" ref="G604:G667" si="10">E604*F604</f>
        <v>1460000</v>
      </c>
    </row>
    <row r="605" spans="1:7" ht="17.25" x14ac:dyDescent="0.3">
      <c r="A605" s="23" t="s">
        <v>170</v>
      </c>
      <c r="B605" s="22" t="s">
        <v>46</v>
      </c>
      <c r="C605" s="4" t="s">
        <v>342</v>
      </c>
      <c r="D605" s="4" t="s">
        <v>61</v>
      </c>
      <c r="E605" s="7">
        <v>138</v>
      </c>
      <c r="F605" s="5">
        <f>IFERROR(VLOOKUP(D605, Sheet2!$A:$C, 3, FALSE), 0)</f>
        <v>7363.6363636363631</v>
      </c>
      <c r="G605" s="6">
        <f t="shared" si="10"/>
        <v>1016181.8181818181</v>
      </c>
    </row>
    <row r="606" spans="1:7" ht="17.25" x14ac:dyDescent="0.3">
      <c r="A606" s="22" t="s">
        <v>170</v>
      </c>
      <c r="B606" s="22" t="s">
        <v>150</v>
      </c>
      <c r="C606" s="4" t="s">
        <v>342</v>
      </c>
      <c r="D606" s="4" t="s">
        <v>61</v>
      </c>
      <c r="E606" s="7">
        <v>374</v>
      </c>
      <c r="F606" s="5">
        <f>IFERROR(VLOOKUP(D606, Sheet2!$A:$C, 3, FALSE), 0)</f>
        <v>7363.6363636363631</v>
      </c>
      <c r="G606" s="6">
        <f t="shared" si="10"/>
        <v>2754000</v>
      </c>
    </row>
    <row r="607" spans="1:7" ht="17.25" x14ac:dyDescent="0.3">
      <c r="A607" s="22" t="s">
        <v>170</v>
      </c>
      <c r="B607" s="22" t="s">
        <v>29</v>
      </c>
      <c r="C607" s="4" t="s">
        <v>341</v>
      </c>
      <c r="D607" s="4" t="s">
        <v>110</v>
      </c>
      <c r="E607" s="7">
        <v>423</v>
      </c>
      <c r="F607" s="5">
        <f>IFERROR(VLOOKUP(D607, Sheet2!$A:$C, 3, FALSE), 0)</f>
        <v>2500</v>
      </c>
      <c r="G607" s="6">
        <f t="shared" si="10"/>
        <v>1057500</v>
      </c>
    </row>
    <row r="608" spans="1:7" ht="17.25" x14ac:dyDescent="0.3">
      <c r="A608" s="22" t="s">
        <v>170</v>
      </c>
      <c r="B608" s="22" t="s">
        <v>41</v>
      </c>
      <c r="C608" s="4" t="s">
        <v>341</v>
      </c>
      <c r="D608" s="4" t="s">
        <v>17</v>
      </c>
      <c r="E608" s="7">
        <v>34</v>
      </c>
      <c r="F608" s="5">
        <f>IFERROR(VLOOKUP(D608, Sheet2!$A:$C, 3, FALSE), 0)</f>
        <v>11700</v>
      </c>
      <c r="G608" s="6">
        <f t="shared" si="10"/>
        <v>397800</v>
      </c>
    </row>
    <row r="609" spans="1:7" ht="17.25" x14ac:dyDescent="0.3">
      <c r="A609" s="22" t="s">
        <v>170</v>
      </c>
      <c r="B609" s="22" t="s">
        <v>21</v>
      </c>
      <c r="C609" s="4" t="s">
        <v>339</v>
      </c>
      <c r="D609" s="4" t="s">
        <v>76</v>
      </c>
      <c r="E609" s="7">
        <v>600</v>
      </c>
      <c r="F609" s="5">
        <f>IFERROR(VLOOKUP(D609, Sheet2!$A:$C, 3, FALSE), 0)</f>
        <v>8636.363636363636</v>
      </c>
      <c r="G609" s="6">
        <f t="shared" si="10"/>
        <v>5181818.1818181816</v>
      </c>
    </row>
    <row r="610" spans="1:7" ht="17.25" x14ac:dyDescent="0.3">
      <c r="A610" s="23" t="s">
        <v>171</v>
      </c>
      <c r="B610" s="22" t="s">
        <v>27</v>
      </c>
      <c r="C610" s="4" t="s">
        <v>341</v>
      </c>
      <c r="D610" s="4" t="s">
        <v>110</v>
      </c>
      <c r="E610" s="7">
        <v>219</v>
      </c>
      <c r="F610" s="5">
        <f>IFERROR(VLOOKUP(D610, Sheet2!$A:$C, 3, FALSE), 0)</f>
        <v>2500</v>
      </c>
      <c r="G610" s="6">
        <f t="shared" si="10"/>
        <v>547500</v>
      </c>
    </row>
    <row r="611" spans="1:7" ht="17.25" x14ac:dyDescent="0.3">
      <c r="A611" s="23" t="s">
        <v>171</v>
      </c>
      <c r="B611" s="22" t="s">
        <v>23</v>
      </c>
      <c r="C611" s="4" t="s">
        <v>344</v>
      </c>
      <c r="D611" s="3" t="s">
        <v>22</v>
      </c>
      <c r="E611" s="7">
        <v>89</v>
      </c>
      <c r="F611" s="5">
        <f>IFERROR(VLOOKUP(D611, Sheet2!$A:$C, 3, FALSE), 0)</f>
        <v>5999.9999999999991</v>
      </c>
      <c r="G611" s="6">
        <f t="shared" si="10"/>
        <v>533999.99999999988</v>
      </c>
    </row>
    <row r="612" spans="1:7" ht="17.25" x14ac:dyDescent="0.3">
      <c r="A612" s="23" t="s">
        <v>171</v>
      </c>
      <c r="B612" s="22" t="s">
        <v>23</v>
      </c>
      <c r="C612" s="4" t="s">
        <v>344</v>
      </c>
      <c r="D612" s="3" t="s">
        <v>22</v>
      </c>
      <c r="E612" s="7">
        <v>80</v>
      </c>
      <c r="F612" s="5">
        <f>IFERROR(VLOOKUP(D612, Sheet2!$A:$C, 3, FALSE), 0)</f>
        <v>5999.9999999999991</v>
      </c>
      <c r="G612" s="6">
        <f t="shared" si="10"/>
        <v>479999.99999999994</v>
      </c>
    </row>
    <row r="613" spans="1:7" ht="17.25" x14ac:dyDescent="0.3">
      <c r="A613" s="23" t="s">
        <v>171</v>
      </c>
      <c r="B613" s="22" t="s">
        <v>21</v>
      </c>
      <c r="C613" s="4" t="s">
        <v>344</v>
      </c>
      <c r="D613" s="4" t="s">
        <v>44</v>
      </c>
      <c r="E613" s="7">
        <v>269</v>
      </c>
      <c r="F613" s="5">
        <f>IFERROR(VLOOKUP(D613, Sheet2!$A:$C, 3, FALSE), 0)</f>
        <v>5909.090909090909</v>
      </c>
      <c r="G613" s="6">
        <f t="shared" si="10"/>
        <v>1589545.4545454546</v>
      </c>
    </row>
    <row r="614" spans="1:7" ht="17.25" x14ac:dyDescent="0.3">
      <c r="A614" s="23" t="s">
        <v>171</v>
      </c>
      <c r="B614" s="22" t="s">
        <v>21</v>
      </c>
      <c r="C614" s="4" t="s">
        <v>344</v>
      </c>
      <c r="D614" s="4" t="s">
        <v>52</v>
      </c>
      <c r="E614" s="7">
        <v>114</v>
      </c>
      <c r="F614" s="5">
        <f>IFERROR(VLOOKUP(D614, Sheet2!$A:$C, 3, FALSE), 0)</f>
        <v>5999.9999999999991</v>
      </c>
      <c r="G614" s="6">
        <f t="shared" si="10"/>
        <v>683999.99999999988</v>
      </c>
    </row>
    <row r="615" spans="1:7" ht="17.25" x14ac:dyDescent="0.3">
      <c r="A615" s="22" t="s">
        <v>171</v>
      </c>
      <c r="B615" s="22" t="s">
        <v>43</v>
      </c>
      <c r="C615" s="4" t="s">
        <v>344</v>
      </c>
      <c r="D615" s="4" t="s">
        <v>22</v>
      </c>
      <c r="E615" s="7">
        <v>181</v>
      </c>
      <c r="F615" s="5">
        <f>IFERROR(VLOOKUP(D615, Sheet2!$A:$C, 3, FALSE), 0)</f>
        <v>5999.9999999999991</v>
      </c>
      <c r="G615" s="6">
        <f t="shared" si="10"/>
        <v>1085999.9999999998</v>
      </c>
    </row>
    <row r="616" spans="1:7" ht="17.25" x14ac:dyDescent="0.3">
      <c r="A616" s="22" t="s">
        <v>172</v>
      </c>
      <c r="B616" s="22" t="s">
        <v>14</v>
      </c>
      <c r="C616" s="4" t="s">
        <v>343</v>
      </c>
      <c r="D616" s="4" t="s">
        <v>45</v>
      </c>
      <c r="E616" s="7">
        <v>876</v>
      </c>
      <c r="F616" s="5">
        <f>IFERROR(VLOOKUP(D616, Sheet2!$A:$C, 3, FALSE), 0)</f>
        <v>10909.090909090908</v>
      </c>
      <c r="G616" s="6">
        <f t="shared" si="10"/>
        <v>9556363.6363636348</v>
      </c>
    </row>
    <row r="617" spans="1:7" ht="17.25" x14ac:dyDescent="0.3">
      <c r="A617" s="23" t="s">
        <v>172</v>
      </c>
      <c r="B617" s="22" t="s">
        <v>150</v>
      </c>
      <c r="C617" s="4" t="s">
        <v>344</v>
      </c>
      <c r="D617" s="4" t="s">
        <v>156</v>
      </c>
      <c r="E617" s="7">
        <v>280</v>
      </c>
      <c r="F617" s="5">
        <f>IFERROR(VLOOKUP(D617, Sheet2!$A:$C, 3, FALSE), 0)</f>
        <v>3454.545454545454</v>
      </c>
      <c r="G617" s="6">
        <f t="shared" si="10"/>
        <v>967272.72727272718</v>
      </c>
    </row>
    <row r="618" spans="1:7" ht="17.25" x14ac:dyDescent="0.3">
      <c r="A618" s="23" t="s">
        <v>172</v>
      </c>
      <c r="B618" s="22" t="s">
        <v>23</v>
      </c>
      <c r="C618" s="4" t="s">
        <v>344</v>
      </c>
      <c r="D618" s="3" t="s">
        <v>22</v>
      </c>
      <c r="E618" s="7">
        <v>52</v>
      </c>
      <c r="F618" s="5">
        <f>IFERROR(VLOOKUP(D618, Sheet2!$A:$C, 3, FALSE), 0)</f>
        <v>5999.9999999999991</v>
      </c>
      <c r="G618" s="6">
        <f t="shared" si="10"/>
        <v>311999.99999999994</v>
      </c>
    </row>
    <row r="619" spans="1:7" ht="17.25" x14ac:dyDescent="0.3">
      <c r="A619" s="22" t="s">
        <v>172</v>
      </c>
      <c r="B619" s="22" t="s">
        <v>29</v>
      </c>
      <c r="C619" s="4" t="s">
        <v>341</v>
      </c>
      <c r="D619" s="4" t="s">
        <v>110</v>
      </c>
      <c r="E619" s="7">
        <v>175</v>
      </c>
      <c r="F619" s="5">
        <f>IFERROR(VLOOKUP(D619, Sheet2!$A:$C, 3, FALSE), 0)</f>
        <v>2500</v>
      </c>
      <c r="G619" s="6">
        <f t="shared" si="10"/>
        <v>437500</v>
      </c>
    </row>
    <row r="620" spans="1:7" ht="17.25" x14ac:dyDescent="0.3">
      <c r="A620" s="22" t="s">
        <v>172</v>
      </c>
      <c r="B620" s="22" t="s">
        <v>41</v>
      </c>
      <c r="C620" s="4" t="s">
        <v>341</v>
      </c>
      <c r="D620" s="4" t="s">
        <v>17</v>
      </c>
      <c r="E620" s="7">
        <v>258</v>
      </c>
      <c r="F620" s="5">
        <f>IFERROR(VLOOKUP(D620, Sheet2!$A:$C, 3, FALSE), 0)</f>
        <v>11700</v>
      </c>
      <c r="G620" s="6">
        <f t="shared" si="10"/>
        <v>3018600</v>
      </c>
    </row>
    <row r="621" spans="1:7" ht="17.25" x14ac:dyDescent="0.3">
      <c r="A621" s="22" t="s">
        <v>172</v>
      </c>
      <c r="B621" s="22" t="s">
        <v>41</v>
      </c>
      <c r="C621" s="4" t="s">
        <v>337</v>
      </c>
      <c r="D621" s="4" t="s">
        <v>101</v>
      </c>
      <c r="E621" s="7">
        <v>1131</v>
      </c>
      <c r="F621" s="5">
        <f>IFERROR(VLOOKUP(D621, Sheet2!$A:$C, 3, FALSE), 0)</f>
        <v>18090.909090909088</v>
      </c>
      <c r="G621" s="6">
        <f t="shared" si="10"/>
        <v>20460818.18181818</v>
      </c>
    </row>
    <row r="622" spans="1:7" ht="17.25" x14ac:dyDescent="0.3">
      <c r="A622" s="22" t="s">
        <v>172</v>
      </c>
      <c r="B622" s="22" t="s">
        <v>69</v>
      </c>
      <c r="C622" s="4" t="s">
        <v>338</v>
      </c>
      <c r="D622" s="4" t="s">
        <v>36</v>
      </c>
      <c r="E622" s="7">
        <v>810</v>
      </c>
      <c r="F622" s="5">
        <f>IFERROR(VLOOKUP(D622, Sheet2!$A:$C, 3, FALSE), 0)</f>
        <v>7899.9999999999991</v>
      </c>
      <c r="G622" s="6">
        <f t="shared" si="10"/>
        <v>6398999.9999999991</v>
      </c>
    </row>
    <row r="623" spans="1:7" ht="17.25" x14ac:dyDescent="0.3">
      <c r="A623" s="22" t="s">
        <v>172</v>
      </c>
      <c r="B623" s="22" t="s">
        <v>69</v>
      </c>
      <c r="C623" s="4" t="s">
        <v>344</v>
      </c>
      <c r="D623" s="4" t="s">
        <v>22</v>
      </c>
      <c r="E623" s="7">
        <v>797</v>
      </c>
      <c r="F623" s="5">
        <f>IFERROR(VLOOKUP(D623, Sheet2!$A:$C, 3, FALSE), 0)</f>
        <v>5999.9999999999991</v>
      </c>
      <c r="G623" s="6">
        <f t="shared" si="10"/>
        <v>4781999.9999999991</v>
      </c>
    </row>
    <row r="624" spans="1:7" ht="17.25" x14ac:dyDescent="0.3">
      <c r="A624" s="22" t="s">
        <v>172</v>
      </c>
      <c r="B624" s="22" t="s">
        <v>75</v>
      </c>
      <c r="C624" s="4" t="s">
        <v>215</v>
      </c>
      <c r="D624" s="4" t="s">
        <v>173</v>
      </c>
      <c r="E624" s="7">
        <v>150</v>
      </c>
      <c r="F624" s="5">
        <f>IFERROR(VLOOKUP(D624, Sheet2!$A:$C, 3, FALSE), 0)</f>
        <v>7181.8181818181811</v>
      </c>
      <c r="G624" s="6">
        <f t="shared" si="10"/>
        <v>1077272.7272727271</v>
      </c>
    </row>
    <row r="625" spans="1:7" ht="17.25" x14ac:dyDescent="0.3">
      <c r="A625" s="23" t="s">
        <v>174</v>
      </c>
      <c r="B625" s="22" t="s">
        <v>60</v>
      </c>
      <c r="C625" s="4" t="s">
        <v>337</v>
      </c>
      <c r="D625" s="4" t="s">
        <v>55</v>
      </c>
      <c r="E625" s="7">
        <v>501</v>
      </c>
      <c r="F625" s="5">
        <f>IFERROR(VLOOKUP(D625, Sheet2!$A:$C, 3, FALSE), 0)</f>
        <v>14899.999999999998</v>
      </c>
      <c r="G625" s="6">
        <f t="shared" si="10"/>
        <v>7464899.9999999991</v>
      </c>
    </row>
    <row r="626" spans="1:7" ht="17.25" x14ac:dyDescent="0.3">
      <c r="A626" s="23" t="s">
        <v>174</v>
      </c>
      <c r="B626" s="22" t="s">
        <v>60</v>
      </c>
      <c r="C626" s="4" t="s">
        <v>337</v>
      </c>
      <c r="D626" s="4" t="s">
        <v>26</v>
      </c>
      <c r="E626" s="7">
        <v>185</v>
      </c>
      <c r="F626" s="5">
        <f>IFERROR(VLOOKUP(D626, Sheet2!$A:$C, 3, FALSE), 0)</f>
        <v>21000</v>
      </c>
      <c r="G626" s="6">
        <f t="shared" si="10"/>
        <v>3885000</v>
      </c>
    </row>
    <row r="627" spans="1:7" ht="17.25" x14ac:dyDescent="0.3">
      <c r="A627" s="23" t="s">
        <v>174</v>
      </c>
      <c r="B627" s="22" t="s">
        <v>27</v>
      </c>
      <c r="C627" s="4" t="s">
        <v>341</v>
      </c>
      <c r="D627" s="4" t="s">
        <v>110</v>
      </c>
      <c r="E627" s="7">
        <v>226</v>
      </c>
      <c r="F627" s="5">
        <f>IFERROR(VLOOKUP(D627, Sheet2!$A:$C, 3, FALSE), 0)</f>
        <v>2500</v>
      </c>
      <c r="G627" s="6">
        <f t="shared" si="10"/>
        <v>565000</v>
      </c>
    </row>
    <row r="628" spans="1:7" ht="17.25" x14ac:dyDescent="0.3">
      <c r="A628" s="23" t="s">
        <v>174</v>
      </c>
      <c r="B628" s="22" t="s">
        <v>5</v>
      </c>
      <c r="C628" s="4" t="s">
        <v>338</v>
      </c>
      <c r="D628" s="4" t="s">
        <v>28</v>
      </c>
      <c r="E628" s="7">
        <v>821</v>
      </c>
      <c r="F628" s="5">
        <f>IFERROR(VLOOKUP(D628, Sheet2!$A:$C, 3, FALSE), 0)</f>
        <v>7899.9999999999991</v>
      </c>
      <c r="G628" s="6">
        <f t="shared" si="10"/>
        <v>6485899.9999999991</v>
      </c>
    </row>
    <row r="629" spans="1:7" ht="17.25" x14ac:dyDescent="0.3">
      <c r="A629" s="23" t="s">
        <v>174</v>
      </c>
      <c r="B629" s="22" t="s">
        <v>21</v>
      </c>
      <c r="C629" s="4" t="s">
        <v>344</v>
      </c>
      <c r="D629" s="4" t="s">
        <v>22</v>
      </c>
      <c r="E629" s="7">
        <v>106</v>
      </c>
      <c r="F629" s="5">
        <f>IFERROR(VLOOKUP(D629, Sheet2!$A:$C, 3, FALSE), 0)</f>
        <v>5999.9999999999991</v>
      </c>
      <c r="G629" s="6">
        <f t="shared" si="10"/>
        <v>635999.99999999988</v>
      </c>
    </row>
    <row r="630" spans="1:7" ht="17.25" x14ac:dyDescent="0.3">
      <c r="A630" s="23" t="s">
        <v>174</v>
      </c>
      <c r="B630" s="22" t="s">
        <v>8</v>
      </c>
      <c r="C630" s="4" t="s">
        <v>342</v>
      </c>
      <c r="D630" s="4" t="s">
        <v>61</v>
      </c>
      <c r="E630" s="7">
        <v>44</v>
      </c>
      <c r="F630" s="5">
        <f>IFERROR(VLOOKUP(D630, Sheet2!$A:$C, 3, FALSE), 0)</f>
        <v>7363.6363636363631</v>
      </c>
      <c r="G630" s="6">
        <f t="shared" si="10"/>
        <v>324000</v>
      </c>
    </row>
    <row r="631" spans="1:7" ht="17.25" x14ac:dyDescent="0.3">
      <c r="A631" s="22" t="s">
        <v>175</v>
      </c>
      <c r="B631" s="22" t="s">
        <v>93</v>
      </c>
      <c r="C631" s="4" t="s">
        <v>342</v>
      </c>
      <c r="D631" s="4" t="s">
        <v>61</v>
      </c>
      <c r="E631" s="7">
        <v>289</v>
      </c>
      <c r="F631" s="5">
        <f>IFERROR(VLOOKUP(D631, Sheet2!$A:$C, 3, FALSE), 0)</f>
        <v>7363.6363636363631</v>
      </c>
      <c r="G631" s="6">
        <f t="shared" si="10"/>
        <v>2128090.9090909087</v>
      </c>
    </row>
    <row r="632" spans="1:7" ht="17.25" x14ac:dyDescent="0.3">
      <c r="A632" s="22" t="s">
        <v>174</v>
      </c>
      <c r="B632" s="22" t="s">
        <v>60</v>
      </c>
      <c r="C632" s="4" t="s">
        <v>337</v>
      </c>
      <c r="D632" s="4" t="s">
        <v>78</v>
      </c>
      <c r="E632" s="7">
        <v>566</v>
      </c>
      <c r="F632" s="5">
        <f>IFERROR(VLOOKUP(D632, Sheet2!$A:$C, 3, FALSE), 0)</f>
        <v>14999.999999999998</v>
      </c>
      <c r="G632" s="6">
        <f t="shared" si="10"/>
        <v>8489999.9999999981</v>
      </c>
    </row>
    <row r="633" spans="1:7" ht="17.25" x14ac:dyDescent="0.3">
      <c r="A633" s="22" t="s">
        <v>174</v>
      </c>
      <c r="B633" s="22" t="s">
        <v>24</v>
      </c>
      <c r="C633" s="4" t="s">
        <v>338</v>
      </c>
      <c r="D633" s="4" t="s">
        <v>36</v>
      </c>
      <c r="E633" s="7">
        <v>277</v>
      </c>
      <c r="F633" s="5">
        <f>IFERROR(VLOOKUP(D633, Sheet2!$A:$C, 3, FALSE), 0)</f>
        <v>7899.9999999999991</v>
      </c>
      <c r="G633" s="6">
        <f t="shared" si="10"/>
        <v>2188299.9999999995</v>
      </c>
    </row>
    <row r="634" spans="1:7" ht="17.25" x14ac:dyDescent="0.3">
      <c r="A634" s="23" t="s">
        <v>175</v>
      </c>
      <c r="B634" s="22" t="s">
        <v>11</v>
      </c>
      <c r="C634" s="4" t="s">
        <v>344</v>
      </c>
      <c r="D634" s="4" t="s">
        <v>120</v>
      </c>
      <c r="E634" s="7">
        <v>273</v>
      </c>
      <c r="F634" s="5">
        <f>IFERROR(VLOOKUP(D634, Sheet2!$A:$C, 3, FALSE), 0)</f>
        <v>6272.7272727272721</v>
      </c>
      <c r="G634" s="6">
        <f t="shared" si="10"/>
        <v>1712454.5454545452</v>
      </c>
    </row>
    <row r="635" spans="1:7" ht="17.25" x14ac:dyDescent="0.3">
      <c r="A635" s="23" t="s">
        <v>175</v>
      </c>
      <c r="B635" s="22" t="s">
        <v>16</v>
      </c>
      <c r="C635" s="4" t="s">
        <v>338</v>
      </c>
      <c r="D635" s="4" t="s">
        <v>36</v>
      </c>
      <c r="E635" s="7">
        <v>719</v>
      </c>
      <c r="F635" s="5">
        <f>IFERROR(VLOOKUP(D635, Sheet2!$A:$C, 3, FALSE), 0)</f>
        <v>7899.9999999999991</v>
      </c>
      <c r="G635" s="6">
        <f t="shared" si="10"/>
        <v>5680099.9999999991</v>
      </c>
    </row>
    <row r="636" spans="1:7" ht="17.25" x14ac:dyDescent="0.3">
      <c r="A636" s="23" t="s">
        <v>175</v>
      </c>
      <c r="B636" s="22" t="s">
        <v>14</v>
      </c>
      <c r="C636" s="4" t="s">
        <v>344</v>
      </c>
      <c r="D636" s="4" t="s">
        <v>15</v>
      </c>
      <c r="E636" s="7">
        <v>338</v>
      </c>
      <c r="F636" s="5">
        <f>IFERROR(VLOOKUP(D636, Sheet2!$A:$C, 3, FALSE), 0)</f>
        <v>3863.6363636363635</v>
      </c>
      <c r="G636" s="6">
        <f t="shared" si="10"/>
        <v>1305909.0909090908</v>
      </c>
    </row>
    <row r="637" spans="1:7" ht="17.25" x14ac:dyDescent="0.3">
      <c r="A637" s="23" t="s">
        <v>175</v>
      </c>
      <c r="B637" s="22" t="s">
        <v>102</v>
      </c>
      <c r="C637" s="4" t="s">
        <v>337</v>
      </c>
      <c r="D637" s="4" t="s">
        <v>9</v>
      </c>
      <c r="E637" s="7">
        <v>533</v>
      </c>
      <c r="F637" s="5">
        <f>IFERROR(VLOOKUP(D637, Sheet2!$A:$C, 3, FALSE), 0)</f>
        <v>18636.363636363636</v>
      </c>
      <c r="G637" s="6">
        <f t="shared" si="10"/>
        <v>9933181.8181818184</v>
      </c>
    </row>
    <row r="638" spans="1:7" ht="17.25" x14ac:dyDescent="0.3">
      <c r="A638" s="23" t="s">
        <v>175</v>
      </c>
      <c r="B638" s="22" t="s">
        <v>102</v>
      </c>
      <c r="C638" s="4" t="s">
        <v>342</v>
      </c>
      <c r="D638" s="4" t="s">
        <v>61</v>
      </c>
      <c r="E638" s="7">
        <v>123</v>
      </c>
      <c r="F638" s="5">
        <f>IFERROR(VLOOKUP(D638, Sheet2!$A:$C, 3, FALSE), 0)</f>
        <v>7363.6363636363631</v>
      </c>
      <c r="G638" s="6">
        <f t="shared" si="10"/>
        <v>905727.27272727271</v>
      </c>
    </row>
    <row r="639" spans="1:7" ht="17.25" x14ac:dyDescent="0.3">
      <c r="A639" s="23" t="s">
        <v>175</v>
      </c>
      <c r="B639" s="22" t="s">
        <v>46</v>
      </c>
      <c r="C639" s="4" t="s">
        <v>344</v>
      </c>
      <c r="D639" s="4" t="s">
        <v>56</v>
      </c>
      <c r="E639" s="7">
        <v>313</v>
      </c>
      <c r="F639" s="5">
        <f>IFERROR(VLOOKUP(D639, Sheet2!$A:$C, 3, FALSE), 0)</f>
        <v>5545.454545454545</v>
      </c>
      <c r="G639" s="6">
        <f t="shared" si="10"/>
        <v>1735727.2727272727</v>
      </c>
    </row>
    <row r="640" spans="1:7" ht="17.25" x14ac:dyDescent="0.3">
      <c r="A640" s="22" t="s">
        <v>175</v>
      </c>
      <c r="B640" s="22" t="s">
        <v>150</v>
      </c>
      <c r="C640" s="4" t="s">
        <v>342</v>
      </c>
      <c r="D640" s="4" t="s">
        <v>61</v>
      </c>
      <c r="E640" s="7">
        <v>302</v>
      </c>
      <c r="F640" s="5">
        <f>IFERROR(VLOOKUP(D640, Sheet2!$A:$C, 3, FALSE), 0)</f>
        <v>7363.6363636363631</v>
      </c>
      <c r="G640" s="6">
        <f t="shared" si="10"/>
        <v>2223818.1818181816</v>
      </c>
    </row>
    <row r="641" spans="1:7" ht="17.25" x14ac:dyDescent="0.3">
      <c r="A641" s="22" t="s">
        <v>175</v>
      </c>
      <c r="B641" s="22" t="s">
        <v>29</v>
      </c>
      <c r="C641" s="4" t="s">
        <v>341</v>
      </c>
      <c r="D641" s="4" t="s">
        <v>110</v>
      </c>
      <c r="E641" s="7">
        <v>191</v>
      </c>
      <c r="F641" s="5">
        <f>IFERROR(VLOOKUP(D641, Sheet2!$A:$C, 3, FALSE), 0)</f>
        <v>2500</v>
      </c>
      <c r="G641" s="6">
        <f t="shared" si="10"/>
        <v>477500</v>
      </c>
    </row>
    <row r="642" spans="1:7" ht="17.25" x14ac:dyDescent="0.3">
      <c r="A642" s="23" t="s">
        <v>175</v>
      </c>
      <c r="B642" s="22" t="s">
        <v>95</v>
      </c>
      <c r="C642" s="4" t="s">
        <v>342</v>
      </c>
      <c r="D642" s="4" t="s">
        <v>61</v>
      </c>
      <c r="E642" s="7">
        <v>113</v>
      </c>
      <c r="F642" s="5">
        <f>IFERROR(VLOOKUP(D642, Sheet2!$A:$C, 3, FALSE), 0)</f>
        <v>7363.6363636363631</v>
      </c>
      <c r="G642" s="6">
        <f t="shared" si="10"/>
        <v>832090.90909090906</v>
      </c>
    </row>
    <row r="643" spans="1:7" ht="17.25" x14ac:dyDescent="0.3">
      <c r="A643" s="22" t="s">
        <v>175</v>
      </c>
      <c r="B643" s="22" t="s">
        <v>41</v>
      </c>
      <c r="C643" s="4" t="s">
        <v>341</v>
      </c>
      <c r="D643" s="4" t="s">
        <v>17</v>
      </c>
      <c r="E643" s="7">
        <v>284</v>
      </c>
      <c r="F643" s="5">
        <f>IFERROR(VLOOKUP(D643, Sheet2!$A:$C, 3, FALSE), 0)</f>
        <v>11700</v>
      </c>
      <c r="G643" s="6">
        <f t="shared" si="10"/>
        <v>3322800</v>
      </c>
    </row>
    <row r="644" spans="1:7" ht="17.25" x14ac:dyDescent="0.3">
      <c r="A644" s="22" t="s">
        <v>175</v>
      </c>
      <c r="B644" s="22" t="s">
        <v>25</v>
      </c>
      <c r="C644" s="4" t="s">
        <v>337</v>
      </c>
      <c r="D644" s="4" t="s">
        <v>9</v>
      </c>
      <c r="E644" s="7">
        <v>1130</v>
      </c>
      <c r="F644" s="5">
        <f>IFERROR(VLOOKUP(D644, Sheet2!$A:$C, 3, FALSE), 0)</f>
        <v>18636.363636363636</v>
      </c>
      <c r="G644" s="6">
        <f t="shared" si="10"/>
        <v>21059090.90909091</v>
      </c>
    </row>
    <row r="645" spans="1:7" ht="17.25" x14ac:dyDescent="0.3">
      <c r="A645" s="22" t="s">
        <v>175</v>
      </c>
      <c r="B645" s="22" t="s">
        <v>18</v>
      </c>
      <c r="C645" s="4" t="s">
        <v>338</v>
      </c>
      <c r="D645" s="4" t="s">
        <v>28</v>
      </c>
      <c r="E645" s="7">
        <v>656</v>
      </c>
      <c r="F645" s="5">
        <f>IFERROR(VLOOKUP(D645, Sheet2!$A:$C, 3, FALSE), 0)</f>
        <v>7899.9999999999991</v>
      </c>
      <c r="G645" s="6">
        <f t="shared" si="10"/>
        <v>5182399.9999999991</v>
      </c>
    </row>
    <row r="646" spans="1:7" ht="17.25" x14ac:dyDescent="0.3">
      <c r="A646" s="22" t="s">
        <v>175</v>
      </c>
      <c r="B646" s="22" t="s">
        <v>33</v>
      </c>
      <c r="C646" s="4" t="s">
        <v>337</v>
      </c>
      <c r="D646" s="4" t="s">
        <v>113</v>
      </c>
      <c r="E646" s="7">
        <v>541</v>
      </c>
      <c r="F646" s="5">
        <f>IFERROR(VLOOKUP(D646, Sheet2!$A:$C, 3, FALSE), 0)</f>
        <v>20727.272727272724</v>
      </c>
      <c r="G646" s="6">
        <f t="shared" si="10"/>
        <v>11213454.545454543</v>
      </c>
    </row>
    <row r="647" spans="1:7" ht="17.25" x14ac:dyDescent="0.3">
      <c r="A647" s="22" t="s">
        <v>175</v>
      </c>
      <c r="B647" s="22" t="s">
        <v>33</v>
      </c>
      <c r="C647" s="4" t="s">
        <v>344</v>
      </c>
      <c r="D647" s="4" t="s">
        <v>44</v>
      </c>
      <c r="E647" s="7">
        <v>210</v>
      </c>
      <c r="F647" s="5">
        <f>IFERROR(VLOOKUP(D647, Sheet2!$A:$C, 3, FALSE), 0)</f>
        <v>5909.090909090909</v>
      </c>
      <c r="G647" s="6">
        <f t="shared" si="10"/>
        <v>1240909.0909090908</v>
      </c>
    </row>
    <row r="648" spans="1:7" ht="17.25" x14ac:dyDescent="0.3">
      <c r="A648" s="22" t="s">
        <v>175</v>
      </c>
      <c r="B648" s="22" t="s">
        <v>66</v>
      </c>
      <c r="C648" s="4" t="s">
        <v>339</v>
      </c>
      <c r="D648" s="4" t="s">
        <v>67</v>
      </c>
      <c r="E648" s="7">
        <v>742</v>
      </c>
      <c r="F648" s="5">
        <f>IFERROR(VLOOKUP(D648, Sheet2!$A:$C, 3, FALSE), 0)</f>
        <v>10818.181818181818</v>
      </c>
      <c r="G648" s="6">
        <f t="shared" si="10"/>
        <v>8027090.9090909092</v>
      </c>
    </row>
    <row r="649" spans="1:7" ht="17.25" x14ac:dyDescent="0.3">
      <c r="A649" s="22" t="s">
        <v>175</v>
      </c>
      <c r="B649" s="22" t="s">
        <v>66</v>
      </c>
      <c r="C649" s="4" t="s">
        <v>340</v>
      </c>
      <c r="D649" s="4" t="s">
        <v>49</v>
      </c>
      <c r="E649" s="7">
        <v>226</v>
      </c>
      <c r="F649" s="5">
        <f>IFERROR(VLOOKUP(D649, Sheet2!$A:$C, 3, FALSE), 0)</f>
        <v>38000</v>
      </c>
      <c r="G649" s="6">
        <f t="shared" si="10"/>
        <v>8588000</v>
      </c>
    </row>
    <row r="650" spans="1:7" ht="17.25" x14ac:dyDescent="0.3">
      <c r="A650" s="22" t="s">
        <v>175</v>
      </c>
      <c r="B650" s="22" t="s">
        <v>43</v>
      </c>
      <c r="C650" s="4" t="s">
        <v>341</v>
      </c>
      <c r="D650" s="4" t="s">
        <v>17</v>
      </c>
      <c r="E650" s="7">
        <v>12</v>
      </c>
      <c r="F650" s="5">
        <f>IFERROR(VLOOKUP(D650, Sheet2!$A:$C, 3, FALSE), 0)</f>
        <v>11700</v>
      </c>
      <c r="G650" s="6">
        <f t="shared" si="10"/>
        <v>140400</v>
      </c>
    </row>
    <row r="651" spans="1:7" ht="17.25" x14ac:dyDescent="0.3">
      <c r="A651" s="22" t="s">
        <v>175</v>
      </c>
      <c r="B651" s="22" t="s">
        <v>43</v>
      </c>
      <c r="C651" s="4" t="s">
        <v>341</v>
      </c>
      <c r="D651" s="4" t="s">
        <v>110</v>
      </c>
      <c r="E651" s="7">
        <v>69</v>
      </c>
      <c r="F651" s="5">
        <f>IFERROR(VLOOKUP(D651, Sheet2!$A:$C, 3, FALSE), 0)</f>
        <v>2500</v>
      </c>
      <c r="G651" s="6">
        <f t="shared" si="10"/>
        <v>172500</v>
      </c>
    </row>
    <row r="652" spans="1:7" ht="17.25" x14ac:dyDescent="0.3">
      <c r="A652" s="22" t="s">
        <v>175</v>
      </c>
      <c r="B652" s="22" t="s">
        <v>21</v>
      </c>
      <c r="C652" s="4" t="s">
        <v>344</v>
      </c>
      <c r="D652" s="4" t="s">
        <v>22</v>
      </c>
      <c r="E652" s="7">
        <v>223</v>
      </c>
      <c r="F652" s="5">
        <f>IFERROR(VLOOKUP(D652, Sheet2!$A:$C, 3, FALSE), 0)</f>
        <v>5999.9999999999991</v>
      </c>
      <c r="G652" s="6">
        <f t="shared" si="10"/>
        <v>1337999.9999999998</v>
      </c>
    </row>
    <row r="653" spans="1:7" ht="17.25" x14ac:dyDescent="0.3">
      <c r="A653" s="22" t="s">
        <v>175</v>
      </c>
      <c r="B653" s="22" t="s">
        <v>30</v>
      </c>
      <c r="C653" s="4" t="s">
        <v>339</v>
      </c>
      <c r="D653" s="4" t="s">
        <v>67</v>
      </c>
      <c r="E653" s="7">
        <v>849</v>
      </c>
      <c r="F653" s="5">
        <f>IFERROR(VLOOKUP(D653, Sheet2!$A:$C, 3, FALSE), 0)</f>
        <v>10818.181818181818</v>
      </c>
      <c r="G653" s="6">
        <f t="shared" si="10"/>
        <v>9184636.3636363633</v>
      </c>
    </row>
    <row r="654" spans="1:7" ht="17.25" x14ac:dyDescent="0.3">
      <c r="A654" s="22" t="s">
        <v>175</v>
      </c>
      <c r="B654" s="22" t="s">
        <v>30</v>
      </c>
      <c r="C654" s="4" t="s">
        <v>339</v>
      </c>
      <c r="D654" s="4" t="s">
        <v>117</v>
      </c>
      <c r="E654" s="7">
        <v>1597</v>
      </c>
      <c r="F654" s="5">
        <f>IFERROR(VLOOKUP(D654, Sheet2!$A:$C, 3, FALSE), 0)</f>
        <v>11363.636363636362</v>
      </c>
      <c r="G654" s="6">
        <f t="shared" si="10"/>
        <v>18147727.27272727</v>
      </c>
    </row>
    <row r="655" spans="1:7" ht="17.25" x14ac:dyDescent="0.3">
      <c r="A655" s="23" t="s">
        <v>176</v>
      </c>
      <c r="B655" s="22" t="s">
        <v>11</v>
      </c>
      <c r="C655" s="4" t="s">
        <v>339</v>
      </c>
      <c r="D655" s="4" t="s">
        <v>65</v>
      </c>
      <c r="E655" s="7">
        <v>32</v>
      </c>
      <c r="F655" s="5">
        <f>IFERROR(VLOOKUP(D655, Sheet2!$A:$C, 3, FALSE), 0)</f>
        <v>16199.999999999998</v>
      </c>
      <c r="G655" s="6">
        <f t="shared" si="10"/>
        <v>518399.99999999994</v>
      </c>
    </row>
    <row r="656" spans="1:7" ht="17.25" x14ac:dyDescent="0.3">
      <c r="A656" s="23" t="s">
        <v>176</v>
      </c>
      <c r="B656" s="22" t="s">
        <v>11</v>
      </c>
      <c r="C656" s="4" t="s">
        <v>337</v>
      </c>
      <c r="D656" s="4" t="s">
        <v>78</v>
      </c>
      <c r="E656" s="7">
        <v>922</v>
      </c>
      <c r="F656" s="5">
        <f>IFERROR(VLOOKUP(D656, Sheet2!$A:$C, 3, FALSE), 0)</f>
        <v>14999.999999999998</v>
      </c>
      <c r="G656" s="6">
        <f t="shared" si="10"/>
        <v>13829999.999999998</v>
      </c>
    </row>
    <row r="657" spans="1:7" ht="17.25" x14ac:dyDescent="0.3">
      <c r="A657" s="23" t="s">
        <v>176</v>
      </c>
      <c r="B657" s="22" t="s">
        <v>8</v>
      </c>
      <c r="C657" s="4" t="s">
        <v>342</v>
      </c>
      <c r="D657" s="4" t="s">
        <v>35</v>
      </c>
      <c r="E657" s="7">
        <v>101</v>
      </c>
      <c r="F657" s="5">
        <f>IFERROR(VLOOKUP(D657, Sheet2!$A:$C, 3, FALSE), 0)</f>
        <v>8363.6363636363621</v>
      </c>
      <c r="G657" s="6">
        <f t="shared" si="10"/>
        <v>844727.27272727259</v>
      </c>
    </row>
    <row r="658" spans="1:7" ht="17.25" x14ac:dyDescent="0.3">
      <c r="A658" s="23" t="s">
        <v>176</v>
      </c>
      <c r="B658" s="22" t="s">
        <v>27</v>
      </c>
      <c r="C658" s="4" t="s">
        <v>341</v>
      </c>
      <c r="D658" s="4" t="s">
        <v>110</v>
      </c>
      <c r="E658" s="7">
        <v>358</v>
      </c>
      <c r="F658" s="5">
        <f>IFERROR(VLOOKUP(D658, Sheet2!$A:$C, 3, FALSE), 0)</f>
        <v>2500</v>
      </c>
      <c r="G658" s="6">
        <f t="shared" si="10"/>
        <v>895000</v>
      </c>
    </row>
    <row r="659" spans="1:7" ht="17.25" x14ac:dyDescent="0.3">
      <c r="A659" s="22" t="s">
        <v>176</v>
      </c>
      <c r="B659" s="22" t="s">
        <v>29</v>
      </c>
      <c r="C659" s="4" t="s">
        <v>341</v>
      </c>
      <c r="D659" s="4" t="s">
        <v>110</v>
      </c>
      <c r="E659" s="7">
        <v>242</v>
      </c>
      <c r="F659" s="5">
        <f>IFERROR(VLOOKUP(D659, Sheet2!$A:$C, 3, FALSE), 0)</f>
        <v>2500</v>
      </c>
      <c r="G659" s="6">
        <f t="shared" si="10"/>
        <v>605000</v>
      </c>
    </row>
    <row r="660" spans="1:7" ht="17.25" x14ac:dyDescent="0.3">
      <c r="A660" s="22" t="s">
        <v>176</v>
      </c>
      <c r="B660" s="22" t="s">
        <v>25</v>
      </c>
      <c r="C660" s="4" t="s">
        <v>344</v>
      </c>
      <c r="D660" s="4" t="s">
        <v>22</v>
      </c>
      <c r="E660" s="7">
        <v>120</v>
      </c>
      <c r="F660" s="5">
        <f>IFERROR(VLOOKUP(D660, Sheet2!$A:$C, 3, FALSE), 0)</f>
        <v>5999.9999999999991</v>
      </c>
      <c r="G660" s="6">
        <f t="shared" si="10"/>
        <v>719999.99999999988</v>
      </c>
    </row>
    <row r="661" spans="1:7" ht="17.25" x14ac:dyDescent="0.3">
      <c r="A661" s="22" t="s">
        <v>176</v>
      </c>
      <c r="B661" s="22" t="s">
        <v>33</v>
      </c>
      <c r="C661" s="4" t="s">
        <v>344</v>
      </c>
      <c r="D661" s="4" t="s">
        <v>52</v>
      </c>
      <c r="E661" s="7">
        <v>369</v>
      </c>
      <c r="F661" s="5">
        <f>IFERROR(VLOOKUP(D661, Sheet2!$A:$C, 3, FALSE), 0)</f>
        <v>5999.9999999999991</v>
      </c>
      <c r="G661" s="6">
        <f t="shared" si="10"/>
        <v>2213999.9999999995</v>
      </c>
    </row>
    <row r="662" spans="1:7" ht="17.25" x14ac:dyDescent="0.3">
      <c r="A662" s="22" t="s">
        <v>176</v>
      </c>
      <c r="B662" s="22" t="s">
        <v>25</v>
      </c>
      <c r="C662" s="4" t="s">
        <v>337</v>
      </c>
      <c r="D662" s="4" t="s">
        <v>79</v>
      </c>
      <c r="E662" s="7">
        <v>400</v>
      </c>
      <c r="F662" s="5">
        <f>IFERROR(VLOOKUP(D662, Sheet2!$A:$C, 3, FALSE), 0)</f>
        <v>21363.63636363636</v>
      </c>
      <c r="G662" s="6">
        <f t="shared" si="10"/>
        <v>8545454.5454545449</v>
      </c>
    </row>
    <row r="663" spans="1:7" ht="17.25" x14ac:dyDescent="0.3">
      <c r="A663" s="22" t="s">
        <v>176</v>
      </c>
      <c r="B663" s="22" t="s">
        <v>150</v>
      </c>
      <c r="C663" s="4" t="s">
        <v>344</v>
      </c>
      <c r="D663" s="4" t="s">
        <v>156</v>
      </c>
      <c r="E663" s="7">
        <v>182</v>
      </c>
      <c r="F663" s="5">
        <f>IFERROR(VLOOKUP(D663, Sheet2!$A:$C, 3, FALSE), 0)</f>
        <v>3454.545454545454</v>
      </c>
      <c r="G663" s="6">
        <f t="shared" si="10"/>
        <v>628727.27272727259</v>
      </c>
    </row>
    <row r="664" spans="1:7" ht="17.25" x14ac:dyDescent="0.3">
      <c r="A664" s="22" t="s">
        <v>176</v>
      </c>
      <c r="B664" s="22" t="s">
        <v>41</v>
      </c>
      <c r="C664" s="4" t="s">
        <v>341</v>
      </c>
      <c r="D664" s="4" t="s">
        <v>17</v>
      </c>
      <c r="E664" s="7">
        <v>210</v>
      </c>
      <c r="F664" s="5">
        <f>IFERROR(VLOOKUP(D664, Sheet2!$A:$C, 3, FALSE), 0)</f>
        <v>11700</v>
      </c>
      <c r="G664" s="6">
        <f t="shared" si="10"/>
        <v>2457000</v>
      </c>
    </row>
    <row r="665" spans="1:7" ht="17.25" x14ac:dyDescent="0.3">
      <c r="A665" s="23" t="s">
        <v>242</v>
      </c>
      <c r="B665" s="22" t="s">
        <v>27</v>
      </c>
      <c r="C665" s="4" t="s">
        <v>339</v>
      </c>
      <c r="D665" s="4" t="s">
        <v>76</v>
      </c>
      <c r="E665" s="7">
        <v>609</v>
      </c>
      <c r="F665" s="5">
        <f>IFERROR(VLOOKUP(D665, Sheet2!$A:$C, 3, FALSE), 0)</f>
        <v>8636.363636363636</v>
      </c>
      <c r="G665" s="6">
        <f t="shared" si="10"/>
        <v>5259545.4545454541</v>
      </c>
    </row>
    <row r="666" spans="1:7" ht="17.25" x14ac:dyDescent="0.3">
      <c r="A666" s="23" t="s">
        <v>242</v>
      </c>
      <c r="B666" s="22" t="s">
        <v>33</v>
      </c>
      <c r="C666" s="4" t="s">
        <v>341</v>
      </c>
      <c r="D666" s="4" t="s">
        <v>110</v>
      </c>
      <c r="E666" s="7">
        <v>152</v>
      </c>
      <c r="F666" s="5">
        <f>IFERROR(VLOOKUP(D666, Sheet2!$A:$C, 3, FALSE), 0)</f>
        <v>2500</v>
      </c>
      <c r="G666" s="6">
        <f t="shared" si="10"/>
        <v>380000</v>
      </c>
    </row>
    <row r="667" spans="1:7" ht="17.25" x14ac:dyDescent="0.3">
      <c r="A667" s="23" t="s">
        <v>242</v>
      </c>
      <c r="B667" s="22" t="s">
        <v>21</v>
      </c>
      <c r="C667" s="4" t="s">
        <v>339</v>
      </c>
      <c r="D667" s="4" t="s">
        <v>76</v>
      </c>
      <c r="E667" s="7">
        <v>600</v>
      </c>
      <c r="F667" s="5">
        <f>IFERROR(VLOOKUP(D667, Sheet2!$A:$C, 3, FALSE), 0)</f>
        <v>8636.363636363636</v>
      </c>
      <c r="G667" s="6">
        <f t="shared" si="10"/>
        <v>5181818.1818181816</v>
      </c>
    </row>
    <row r="668" spans="1:7" ht="17.25" x14ac:dyDescent="0.3">
      <c r="A668" s="23" t="s">
        <v>242</v>
      </c>
      <c r="B668" s="22" t="s">
        <v>60</v>
      </c>
      <c r="C668" s="4" t="s">
        <v>342</v>
      </c>
      <c r="D668" s="4" t="s">
        <v>61</v>
      </c>
      <c r="E668" s="7">
        <v>83</v>
      </c>
      <c r="F668" s="5">
        <f>IFERROR(VLOOKUP(D668, Sheet2!$A:$C, 3, FALSE), 0)</f>
        <v>7363.6363636363631</v>
      </c>
      <c r="G668" s="6">
        <f t="shared" ref="G668:G731" si="11">E668*F668</f>
        <v>611181.81818181812</v>
      </c>
    </row>
    <row r="669" spans="1:7" ht="17.25" x14ac:dyDescent="0.3">
      <c r="A669" s="23" t="s">
        <v>242</v>
      </c>
      <c r="B669" s="22" t="s">
        <v>24</v>
      </c>
      <c r="C669" s="4" t="s">
        <v>338</v>
      </c>
      <c r="D669" s="4" t="s">
        <v>73</v>
      </c>
      <c r="E669" s="7">
        <v>334</v>
      </c>
      <c r="F669" s="5">
        <f>IFERROR(VLOOKUP(D669, Sheet2!$A:$C, 3, FALSE), 0)</f>
        <v>7899.9999999999991</v>
      </c>
      <c r="G669" s="6">
        <f t="shared" si="11"/>
        <v>2638599.9999999995</v>
      </c>
    </row>
    <row r="670" spans="1:7" ht="17.25" x14ac:dyDescent="0.3">
      <c r="A670" s="23" t="s">
        <v>242</v>
      </c>
      <c r="B670" s="22" t="s">
        <v>24</v>
      </c>
      <c r="C670" s="4" t="s">
        <v>342</v>
      </c>
      <c r="D670" s="4" t="s">
        <v>61</v>
      </c>
      <c r="E670" s="7">
        <v>105</v>
      </c>
      <c r="F670" s="5">
        <f>IFERROR(VLOOKUP(D670, Sheet2!$A:$C, 3, FALSE), 0)</f>
        <v>7363.6363636363631</v>
      </c>
      <c r="G670" s="6">
        <f t="shared" si="11"/>
        <v>773181.81818181812</v>
      </c>
    </row>
    <row r="671" spans="1:7" ht="17.25" x14ac:dyDescent="0.3">
      <c r="A671" s="23" t="s">
        <v>242</v>
      </c>
      <c r="B671" s="22" t="s">
        <v>99</v>
      </c>
      <c r="C671" s="4" t="s">
        <v>338</v>
      </c>
      <c r="D671" s="4" t="s">
        <v>28</v>
      </c>
      <c r="E671" s="7">
        <v>377</v>
      </c>
      <c r="F671" s="5">
        <f>IFERROR(VLOOKUP(D671, Sheet2!$A:$C, 3, FALSE), 0)</f>
        <v>7899.9999999999991</v>
      </c>
      <c r="G671" s="6">
        <f t="shared" si="11"/>
        <v>2978299.9999999995</v>
      </c>
    </row>
    <row r="672" spans="1:7" ht="17.25" x14ac:dyDescent="0.3">
      <c r="A672" s="23" t="s">
        <v>242</v>
      </c>
      <c r="B672" s="22" t="s">
        <v>43</v>
      </c>
      <c r="C672" s="4" t="s">
        <v>341</v>
      </c>
      <c r="D672" s="4" t="s">
        <v>17</v>
      </c>
      <c r="E672" s="7">
        <v>7</v>
      </c>
      <c r="F672" s="5">
        <f>IFERROR(VLOOKUP(D672, Sheet2!$A:$C, 3, FALSE), 0)</f>
        <v>11700</v>
      </c>
      <c r="G672" s="6">
        <f t="shared" si="11"/>
        <v>81900</v>
      </c>
    </row>
    <row r="673" spans="1:7" ht="17.25" x14ac:dyDescent="0.3">
      <c r="A673" s="23" t="s">
        <v>242</v>
      </c>
      <c r="B673" s="22" t="s">
        <v>43</v>
      </c>
      <c r="C673" s="4" t="s">
        <v>341</v>
      </c>
      <c r="D673" s="4" t="s">
        <v>110</v>
      </c>
      <c r="E673" s="7">
        <v>66</v>
      </c>
      <c r="F673" s="5">
        <f>IFERROR(VLOOKUP(D673, Sheet2!$A:$C, 3, FALSE), 0)</f>
        <v>2500</v>
      </c>
      <c r="G673" s="6">
        <f t="shared" si="11"/>
        <v>165000</v>
      </c>
    </row>
    <row r="674" spans="1:7" ht="17.25" x14ac:dyDescent="0.3">
      <c r="A674" s="23" t="s">
        <v>242</v>
      </c>
      <c r="B674" s="22" t="s">
        <v>145</v>
      </c>
      <c r="C674" s="4" t="s">
        <v>339</v>
      </c>
      <c r="D674" s="4" t="s">
        <v>76</v>
      </c>
      <c r="E674" s="7">
        <v>90</v>
      </c>
      <c r="F674" s="5">
        <f>IFERROR(VLOOKUP(D674, Sheet2!$A:$C, 3, FALSE), 0)</f>
        <v>8636.363636363636</v>
      </c>
      <c r="G674" s="6">
        <f t="shared" si="11"/>
        <v>777272.72727272729</v>
      </c>
    </row>
    <row r="675" spans="1:7" ht="17.25" x14ac:dyDescent="0.3">
      <c r="A675" s="23" t="s">
        <v>242</v>
      </c>
      <c r="B675" s="22" t="s">
        <v>145</v>
      </c>
      <c r="C675" s="4" t="s">
        <v>339</v>
      </c>
      <c r="D675" s="4" t="s">
        <v>10</v>
      </c>
      <c r="E675" s="7">
        <v>165</v>
      </c>
      <c r="F675" s="5">
        <f>IFERROR(VLOOKUP(D675, Sheet2!$A:$C, 3, FALSE), 0)</f>
        <v>20818.181818181816</v>
      </c>
      <c r="G675" s="6">
        <f t="shared" si="11"/>
        <v>3434999.9999999995</v>
      </c>
    </row>
    <row r="676" spans="1:7" ht="17.25" x14ac:dyDescent="0.3">
      <c r="A676" s="23" t="s">
        <v>242</v>
      </c>
      <c r="B676" s="22" t="s">
        <v>93</v>
      </c>
      <c r="C676" s="4" t="s">
        <v>341</v>
      </c>
      <c r="D676" s="4" t="s">
        <v>110</v>
      </c>
      <c r="E676" s="7">
        <v>50</v>
      </c>
      <c r="F676" s="5">
        <f>IFERROR(VLOOKUP(D676, Sheet2!$A:$C, 3, FALSE), 0)</f>
        <v>2500</v>
      </c>
      <c r="G676" s="6">
        <f t="shared" si="11"/>
        <v>125000</v>
      </c>
    </row>
    <row r="677" spans="1:7" ht="17.25" x14ac:dyDescent="0.3">
      <c r="A677" s="23" t="s">
        <v>242</v>
      </c>
      <c r="B677" s="22" t="s">
        <v>93</v>
      </c>
      <c r="C677" s="4" t="s">
        <v>341</v>
      </c>
      <c r="D677" s="4" t="s">
        <v>17</v>
      </c>
      <c r="E677" s="7">
        <v>50</v>
      </c>
      <c r="F677" s="5">
        <f>IFERROR(VLOOKUP(D677, Sheet2!$A:$C, 3, FALSE), 0)</f>
        <v>11700</v>
      </c>
      <c r="G677" s="6">
        <f t="shared" si="11"/>
        <v>585000</v>
      </c>
    </row>
    <row r="678" spans="1:7" ht="17.25" x14ac:dyDescent="0.3">
      <c r="A678" s="23" t="s">
        <v>242</v>
      </c>
      <c r="B678" s="22" t="s">
        <v>23</v>
      </c>
      <c r="C678" s="4" t="s">
        <v>343</v>
      </c>
      <c r="D678" s="4" t="s">
        <v>45</v>
      </c>
      <c r="E678" s="7">
        <v>338</v>
      </c>
      <c r="F678" s="5">
        <f>IFERROR(VLOOKUP(D678, Sheet2!$A:$C, 3, FALSE), 0)</f>
        <v>10909.090909090908</v>
      </c>
      <c r="G678" s="6">
        <f t="shared" si="11"/>
        <v>3687272.7272727271</v>
      </c>
    </row>
    <row r="679" spans="1:7" ht="17.25" x14ac:dyDescent="0.3">
      <c r="A679" s="23" t="s">
        <v>242</v>
      </c>
      <c r="B679" s="22" t="s">
        <v>23</v>
      </c>
      <c r="C679" s="4" t="s">
        <v>343</v>
      </c>
      <c r="D679" s="4" t="s">
        <v>45</v>
      </c>
      <c r="E679" s="7">
        <v>389</v>
      </c>
      <c r="F679" s="5">
        <f>IFERROR(VLOOKUP(D679, Sheet2!$A:$C, 3, FALSE), 0)</f>
        <v>10909.090909090908</v>
      </c>
      <c r="G679" s="6">
        <f t="shared" si="11"/>
        <v>4243636.3636363633</v>
      </c>
    </row>
    <row r="680" spans="1:7" ht="17.25" x14ac:dyDescent="0.3">
      <c r="A680" s="23" t="s">
        <v>242</v>
      </c>
      <c r="B680" s="22" t="s">
        <v>43</v>
      </c>
      <c r="C680" s="4" t="s">
        <v>340</v>
      </c>
      <c r="D680" s="4" t="s">
        <v>49</v>
      </c>
      <c r="E680" s="7">
        <v>290</v>
      </c>
      <c r="F680" s="5">
        <f>IFERROR(VLOOKUP(D680, Sheet2!$A:$C, 3, FALSE), 0)</f>
        <v>38000</v>
      </c>
      <c r="G680" s="6">
        <f t="shared" si="11"/>
        <v>11020000</v>
      </c>
    </row>
    <row r="681" spans="1:7" ht="17.25" x14ac:dyDescent="0.3">
      <c r="A681" s="22" t="s">
        <v>242</v>
      </c>
      <c r="B681" s="22" t="s">
        <v>11</v>
      </c>
      <c r="C681" s="4" t="s">
        <v>337</v>
      </c>
      <c r="D681" s="4" t="s">
        <v>128</v>
      </c>
      <c r="E681" s="7">
        <v>75</v>
      </c>
      <c r="F681" s="5">
        <f>IFERROR(VLOOKUP(D681, Sheet2!$A:$C, 3, FALSE), 0)</f>
        <v>20727.272727272724</v>
      </c>
      <c r="G681" s="6">
        <f t="shared" si="11"/>
        <v>1554545.4545454544</v>
      </c>
    </row>
    <row r="682" spans="1:7" ht="17.25" x14ac:dyDescent="0.3">
      <c r="A682" s="22" t="s">
        <v>242</v>
      </c>
      <c r="B682" s="22" t="s">
        <v>21</v>
      </c>
      <c r="C682" s="4" t="s">
        <v>344</v>
      </c>
      <c r="D682" s="4" t="s">
        <v>20</v>
      </c>
      <c r="E682" s="7">
        <v>238</v>
      </c>
      <c r="F682" s="5">
        <f>IFERROR(VLOOKUP(D682, Sheet2!$A:$C, 3, FALSE), 0)</f>
        <v>6999.9999999999991</v>
      </c>
      <c r="G682" s="6">
        <f t="shared" si="11"/>
        <v>1665999.9999999998</v>
      </c>
    </row>
    <row r="683" spans="1:7" ht="17.25" x14ac:dyDescent="0.3">
      <c r="A683" s="22" t="s">
        <v>242</v>
      </c>
      <c r="B683" s="22" t="s">
        <v>21</v>
      </c>
      <c r="C683" s="4" t="s">
        <v>344</v>
      </c>
      <c r="D683" s="4" t="s">
        <v>52</v>
      </c>
      <c r="E683" s="7">
        <v>68</v>
      </c>
      <c r="F683" s="5">
        <f>IFERROR(VLOOKUP(D683, Sheet2!$A:$C, 3, FALSE), 0)</f>
        <v>5999.9999999999991</v>
      </c>
      <c r="G683" s="6">
        <f t="shared" si="11"/>
        <v>407999.99999999994</v>
      </c>
    </row>
    <row r="684" spans="1:7" ht="17.25" x14ac:dyDescent="0.3">
      <c r="A684" s="23" t="s">
        <v>242</v>
      </c>
      <c r="B684" s="22" t="s">
        <v>95</v>
      </c>
      <c r="C684" s="4" t="s">
        <v>338</v>
      </c>
      <c r="D684" s="4" t="s">
        <v>36</v>
      </c>
      <c r="E684" s="7">
        <v>557</v>
      </c>
      <c r="F684" s="5">
        <f>IFERROR(VLOOKUP(D684, Sheet2!$A:$C, 3, FALSE), 0)</f>
        <v>7899.9999999999991</v>
      </c>
      <c r="G684" s="6">
        <f t="shared" si="11"/>
        <v>4400299.9999999991</v>
      </c>
    </row>
    <row r="685" spans="1:7" ht="17.25" x14ac:dyDescent="0.3">
      <c r="A685" s="23" t="s">
        <v>242</v>
      </c>
      <c r="B685" s="22" t="s">
        <v>95</v>
      </c>
      <c r="C685" s="4" t="s">
        <v>341</v>
      </c>
      <c r="D685" s="4" t="s">
        <v>110</v>
      </c>
      <c r="E685" s="7">
        <v>40</v>
      </c>
      <c r="F685" s="5">
        <f>IFERROR(VLOOKUP(D685, Sheet2!$A:$C, 3, FALSE), 0)</f>
        <v>2500</v>
      </c>
      <c r="G685" s="6">
        <f t="shared" si="11"/>
        <v>100000</v>
      </c>
    </row>
    <row r="686" spans="1:7" ht="17.25" x14ac:dyDescent="0.3">
      <c r="A686" s="23" t="s">
        <v>242</v>
      </c>
      <c r="B686" s="22" t="s">
        <v>95</v>
      </c>
      <c r="C686" s="4" t="s">
        <v>341</v>
      </c>
      <c r="D686" s="4" t="s">
        <v>17</v>
      </c>
      <c r="E686" s="7">
        <v>31</v>
      </c>
      <c r="F686" s="5">
        <f>IFERROR(VLOOKUP(D686, Sheet2!$A:$C, 3, FALSE), 0)</f>
        <v>11700</v>
      </c>
      <c r="G686" s="6">
        <f t="shared" si="11"/>
        <v>362700</v>
      </c>
    </row>
    <row r="687" spans="1:7" ht="17.25" x14ac:dyDescent="0.3">
      <c r="A687" s="22" t="s">
        <v>242</v>
      </c>
      <c r="B687" s="22" t="s">
        <v>25</v>
      </c>
      <c r="C687" s="4" t="s">
        <v>337</v>
      </c>
      <c r="D687" s="9" t="s">
        <v>9</v>
      </c>
      <c r="E687" s="10">
        <v>1280</v>
      </c>
      <c r="F687" s="5">
        <f>IFERROR(VLOOKUP(D687, Sheet2!$A:$C, 3, FALSE), 0)</f>
        <v>18636.363636363636</v>
      </c>
      <c r="G687" s="6">
        <f t="shared" si="11"/>
        <v>23854545.454545453</v>
      </c>
    </row>
    <row r="688" spans="1:7" ht="17.25" x14ac:dyDescent="0.3">
      <c r="A688" s="23" t="s">
        <v>242</v>
      </c>
      <c r="B688" s="22" t="s">
        <v>23</v>
      </c>
      <c r="C688" s="4" t="s">
        <v>343</v>
      </c>
      <c r="D688" s="4" t="s">
        <v>45</v>
      </c>
      <c r="E688" s="7">
        <v>517</v>
      </c>
      <c r="F688" s="5">
        <f>IFERROR(VLOOKUP(D688, Sheet2!$A:$C, 3, FALSE), 0)</f>
        <v>10909.090909090908</v>
      </c>
      <c r="G688" s="6">
        <f t="shared" si="11"/>
        <v>5639999.9999999991</v>
      </c>
    </row>
    <row r="689" spans="1:7" ht="17.25" x14ac:dyDescent="0.3">
      <c r="A689" s="23" t="s">
        <v>242</v>
      </c>
      <c r="B689" s="22" t="s">
        <v>102</v>
      </c>
      <c r="C689" s="4" t="s">
        <v>338</v>
      </c>
      <c r="D689" s="4" t="s">
        <v>36</v>
      </c>
      <c r="E689" s="7">
        <v>244</v>
      </c>
      <c r="F689" s="5">
        <f>IFERROR(VLOOKUP(D689, Sheet2!$A:$C, 3, FALSE), 0)</f>
        <v>7899.9999999999991</v>
      </c>
      <c r="G689" s="6">
        <f t="shared" si="11"/>
        <v>1927599.9999999998</v>
      </c>
    </row>
    <row r="690" spans="1:7" ht="17.25" x14ac:dyDescent="0.3">
      <c r="A690" s="22" t="s">
        <v>242</v>
      </c>
      <c r="B690" s="22" t="s">
        <v>33</v>
      </c>
      <c r="C690" s="4" t="s">
        <v>341</v>
      </c>
      <c r="D690" s="4" t="s">
        <v>110</v>
      </c>
      <c r="E690" s="7">
        <v>91</v>
      </c>
      <c r="F690" s="5">
        <f>IFERROR(VLOOKUP(D690, Sheet2!$A:$C, 3, FALSE), 0)</f>
        <v>2500</v>
      </c>
      <c r="G690" s="6">
        <f t="shared" si="11"/>
        <v>227500</v>
      </c>
    </row>
    <row r="691" spans="1:7" ht="17.25" x14ac:dyDescent="0.3">
      <c r="A691" s="22" t="s">
        <v>242</v>
      </c>
      <c r="B691" s="22" t="s">
        <v>33</v>
      </c>
      <c r="C691" s="4" t="s">
        <v>341</v>
      </c>
      <c r="D691" s="4" t="s">
        <v>17</v>
      </c>
      <c r="E691" s="7">
        <v>44</v>
      </c>
      <c r="F691" s="5">
        <f>IFERROR(VLOOKUP(D691, Sheet2!$A:$C, 3, FALSE), 0)</f>
        <v>11700</v>
      </c>
      <c r="G691" s="6">
        <f t="shared" si="11"/>
        <v>514800</v>
      </c>
    </row>
    <row r="692" spans="1:7" ht="17.25" x14ac:dyDescent="0.3">
      <c r="A692" s="23" t="s">
        <v>243</v>
      </c>
      <c r="B692" s="22" t="s">
        <v>60</v>
      </c>
      <c r="C692" s="4" t="s">
        <v>344</v>
      </c>
      <c r="D692" s="4" t="s">
        <v>32</v>
      </c>
      <c r="E692" s="7">
        <v>366</v>
      </c>
      <c r="F692" s="5">
        <f>IFERROR(VLOOKUP(D692, Sheet2!$A:$C, 3, FALSE), 0)</f>
        <v>4363.6363636363631</v>
      </c>
      <c r="G692" s="6">
        <f t="shared" si="11"/>
        <v>1597090.9090909089</v>
      </c>
    </row>
    <row r="693" spans="1:7" ht="17.25" x14ac:dyDescent="0.3">
      <c r="A693" s="22" t="s">
        <v>243</v>
      </c>
      <c r="B693" s="22" t="s">
        <v>24</v>
      </c>
      <c r="C693" s="4" t="s">
        <v>344</v>
      </c>
      <c r="D693" s="4" t="s">
        <v>22</v>
      </c>
      <c r="E693" s="7">
        <v>86</v>
      </c>
      <c r="F693" s="5">
        <f>IFERROR(VLOOKUP(D693, Sheet2!$A:$C, 3, FALSE), 0)</f>
        <v>5999.9999999999991</v>
      </c>
      <c r="G693" s="6">
        <f t="shared" si="11"/>
        <v>515999.99999999994</v>
      </c>
    </row>
    <row r="694" spans="1:7" ht="17.25" x14ac:dyDescent="0.3">
      <c r="A694" s="23" t="s">
        <v>243</v>
      </c>
      <c r="B694" s="22" t="s">
        <v>8</v>
      </c>
      <c r="C694" s="4" t="s">
        <v>342</v>
      </c>
      <c r="D694" s="4" t="s">
        <v>61</v>
      </c>
      <c r="E694" s="7">
        <v>38</v>
      </c>
      <c r="F694" s="5">
        <f>IFERROR(VLOOKUP(D694, Sheet2!$A:$C, 3, FALSE), 0)</f>
        <v>7363.6363636363631</v>
      </c>
      <c r="G694" s="6">
        <f t="shared" si="11"/>
        <v>279818.18181818182</v>
      </c>
    </row>
    <row r="695" spans="1:7" ht="17.25" x14ac:dyDescent="0.3">
      <c r="A695" s="22" t="s">
        <v>243</v>
      </c>
      <c r="B695" s="22" t="s">
        <v>43</v>
      </c>
      <c r="C695" s="4" t="s">
        <v>341</v>
      </c>
      <c r="D695" s="4" t="s">
        <v>17</v>
      </c>
      <c r="E695" s="7">
        <v>37</v>
      </c>
      <c r="F695" s="5">
        <f>IFERROR(VLOOKUP(D695, Sheet2!$A:$C, 3, FALSE), 0)</f>
        <v>11700</v>
      </c>
      <c r="G695" s="6">
        <f t="shared" si="11"/>
        <v>432900</v>
      </c>
    </row>
    <row r="696" spans="1:7" ht="17.25" x14ac:dyDescent="0.3">
      <c r="A696" s="22" t="s">
        <v>243</v>
      </c>
      <c r="B696" s="22" t="s">
        <v>43</v>
      </c>
      <c r="C696" s="4" t="s">
        <v>341</v>
      </c>
      <c r="D696" s="4" t="s">
        <v>110</v>
      </c>
      <c r="E696" s="7">
        <v>73</v>
      </c>
      <c r="F696" s="5">
        <f>IFERROR(VLOOKUP(D696, Sheet2!$A:$C, 3, FALSE), 0)</f>
        <v>2500</v>
      </c>
      <c r="G696" s="6">
        <f t="shared" si="11"/>
        <v>182500</v>
      </c>
    </row>
    <row r="697" spans="1:7" ht="17.25" x14ac:dyDescent="0.3">
      <c r="A697" s="23" t="s">
        <v>243</v>
      </c>
      <c r="B697" s="22" t="s">
        <v>43</v>
      </c>
      <c r="C697" s="4" t="s">
        <v>337</v>
      </c>
      <c r="D697" s="9" t="s">
        <v>94</v>
      </c>
      <c r="E697" s="7">
        <v>355</v>
      </c>
      <c r="F697" s="5">
        <f>IFERROR(VLOOKUP(D697, Sheet2!$A:$C, 3, FALSE), 0)</f>
        <v>14181.81818181818</v>
      </c>
      <c r="G697" s="6">
        <f t="shared" si="11"/>
        <v>5034545.4545454541</v>
      </c>
    </row>
    <row r="698" spans="1:7" ht="17.25" x14ac:dyDescent="0.3">
      <c r="A698" s="23" t="s">
        <v>243</v>
      </c>
      <c r="B698" s="22" t="s">
        <v>93</v>
      </c>
      <c r="C698" s="4" t="s">
        <v>344</v>
      </c>
      <c r="D698" s="4" t="s">
        <v>53</v>
      </c>
      <c r="E698" s="7">
        <v>857</v>
      </c>
      <c r="F698" s="5">
        <f>IFERROR(VLOOKUP(D698, Sheet2!$A:$C, 3, FALSE), 0)</f>
        <v>5818.181818181818</v>
      </c>
      <c r="G698" s="6">
        <f t="shared" si="11"/>
        <v>4986181.8181818184</v>
      </c>
    </row>
    <row r="699" spans="1:7" ht="17.25" x14ac:dyDescent="0.3">
      <c r="A699" s="23" t="s">
        <v>243</v>
      </c>
      <c r="B699" s="22" t="s">
        <v>93</v>
      </c>
      <c r="C699" s="4" t="s">
        <v>341</v>
      </c>
      <c r="D699" s="4" t="s">
        <v>110</v>
      </c>
      <c r="E699" s="7">
        <v>104</v>
      </c>
      <c r="F699" s="5">
        <f>IFERROR(VLOOKUP(D699, Sheet2!$A:$C, 3, FALSE), 0)</f>
        <v>2500</v>
      </c>
      <c r="G699" s="6">
        <f t="shared" si="11"/>
        <v>260000</v>
      </c>
    </row>
    <row r="700" spans="1:7" ht="17.25" x14ac:dyDescent="0.3">
      <c r="A700" s="23" t="s">
        <v>243</v>
      </c>
      <c r="B700" s="22" t="s">
        <v>93</v>
      </c>
      <c r="C700" s="4" t="s">
        <v>341</v>
      </c>
      <c r="D700" s="4" t="s">
        <v>17</v>
      </c>
      <c r="E700" s="7">
        <v>397</v>
      </c>
      <c r="F700" s="5">
        <f>IFERROR(VLOOKUP(D700, Sheet2!$A:$C, 3, FALSE), 0)</f>
        <v>11700</v>
      </c>
      <c r="G700" s="6">
        <f t="shared" si="11"/>
        <v>4644900</v>
      </c>
    </row>
    <row r="701" spans="1:7" ht="17.25" x14ac:dyDescent="0.3">
      <c r="A701" s="23" t="s">
        <v>243</v>
      </c>
      <c r="B701" s="22" t="s">
        <v>23</v>
      </c>
      <c r="C701" s="4" t="s">
        <v>344</v>
      </c>
      <c r="D701" s="3" t="s">
        <v>22</v>
      </c>
      <c r="E701" s="7">
        <v>100</v>
      </c>
      <c r="F701" s="5">
        <f>IFERROR(VLOOKUP(D701, Sheet2!$A:$C, 3, FALSE), 0)</f>
        <v>5999.9999999999991</v>
      </c>
      <c r="G701" s="6">
        <f t="shared" si="11"/>
        <v>599999.99999999988</v>
      </c>
    </row>
    <row r="702" spans="1:7" ht="17.25" x14ac:dyDescent="0.3">
      <c r="A702" s="23" t="s">
        <v>243</v>
      </c>
      <c r="B702" s="22" t="s">
        <v>23</v>
      </c>
      <c r="C702" s="4" t="s">
        <v>344</v>
      </c>
      <c r="D702" s="3" t="s">
        <v>22</v>
      </c>
      <c r="E702" s="7">
        <v>84</v>
      </c>
      <c r="F702" s="5">
        <f>IFERROR(VLOOKUP(D702, Sheet2!$A:$C, 3, FALSE), 0)</f>
        <v>5999.9999999999991</v>
      </c>
      <c r="G702" s="6">
        <f t="shared" si="11"/>
        <v>503999.99999999994</v>
      </c>
    </row>
    <row r="703" spans="1:7" ht="17.25" x14ac:dyDescent="0.3">
      <c r="A703" s="22" t="s">
        <v>243</v>
      </c>
      <c r="B703" s="22" t="s">
        <v>23</v>
      </c>
      <c r="C703" s="4" t="s">
        <v>342</v>
      </c>
      <c r="D703" s="4" t="s">
        <v>61</v>
      </c>
      <c r="E703" s="7">
        <v>48</v>
      </c>
      <c r="F703" s="5">
        <f>IFERROR(VLOOKUP(D703, Sheet2!$A:$C, 3, FALSE), 0)</f>
        <v>7363.6363636363631</v>
      </c>
      <c r="G703" s="6">
        <f t="shared" si="11"/>
        <v>353454.54545454541</v>
      </c>
    </row>
    <row r="704" spans="1:7" ht="17.25" x14ac:dyDescent="0.3">
      <c r="A704" s="22" t="s">
        <v>243</v>
      </c>
      <c r="B704" s="22" t="s">
        <v>23</v>
      </c>
      <c r="C704" s="4" t="s">
        <v>342</v>
      </c>
      <c r="D704" s="4" t="s">
        <v>61</v>
      </c>
      <c r="E704" s="7">
        <v>36</v>
      </c>
      <c r="F704" s="5">
        <f>IFERROR(VLOOKUP(D704, Sheet2!$A:$C, 3, FALSE), 0)</f>
        <v>7363.6363636363631</v>
      </c>
      <c r="G704" s="6">
        <f t="shared" si="11"/>
        <v>265090.90909090906</v>
      </c>
    </row>
    <row r="705" spans="1:7" ht="17.25" x14ac:dyDescent="0.3">
      <c r="A705" s="22" t="s">
        <v>243</v>
      </c>
      <c r="B705" s="22" t="s">
        <v>8</v>
      </c>
      <c r="C705" s="4" t="s">
        <v>339</v>
      </c>
      <c r="D705" s="4" t="s">
        <v>10</v>
      </c>
      <c r="E705" s="7">
        <v>136</v>
      </c>
      <c r="F705" s="5">
        <f>IFERROR(VLOOKUP(D705, Sheet2!$A:$C, 3, FALSE), 0)</f>
        <v>20818.181818181816</v>
      </c>
      <c r="G705" s="6">
        <f t="shared" si="11"/>
        <v>2831272.7272727271</v>
      </c>
    </row>
    <row r="706" spans="1:7" ht="17.25" x14ac:dyDescent="0.3">
      <c r="A706" s="22" t="s">
        <v>244</v>
      </c>
      <c r="B706" s="22" t="s">
        <v>63</v>
      </c>
      <c r="C706" s="4" t="s">
        <v>344</v>
      </c>
      <c r="D706" s="4" t="s">
        <v>22</v>
      </c>
      <c r="E706" s="7">
        <v>300</v>
      </c>
      <c r="F706" s="5">
        <f>IFERROR(VLOOKUP(D706, Sheet2!$A:$C, 3, FALSE), 0)</f>
        <v>5999.9999999999991</v>
      </c>
      <c r="G706" s="6">
        <f t="shared" si="11"/>
        <v>1799999.9999999998</v>
      </c>
    </row>
    <row r="707" spans="1:7" ht="17.25" x14ac:dyDescent="0.3">
      <c r="A707" s="23" t="s">
        <v>244</v>
      </c>
      <c r="B707" s="22" t="s">
        <v>75</v>
      </c>
      <c r="C707" s="4" t="s">
        <v>344</v>
      </c>
      <c r="D707" s="4" t="s">
        <v>22</v>
      </c>
      <c r="E707" s="7">
        <v>187</v>
      </c>
      <c r="F707" s="5">
        <f>IFERROR(VLOOKUP(D707, Sheet2!$A:$C, 3, FALSE), 0)</f>
        <v>5999.9999999999991</v>
      </c>
      <c r="G707" s="6">
        <f t="shared" si="11"/>
        <v>1121999.9999999998</v>
      </c>
    </row>
    <row r="708" spans="1:7" ht="17.25" x14ac:dyDescent="0.3">
      <c r="A708" s="22" t="s">
        <v>244</v>
      </c>
      <c r="B708" s="22" t="s">
        <v>48</v>
      </c>
      <c r="C708" s="4" t="s">
        <v>344</v>
      </c>
      <c r="D708" s="4" t="s">
        <v>39</v>
      </c>
      <c r="E708" s="7">
        <v>304</v>
      </c>
      <c r="F708" s="5">
        <f>IFERROR(VLOOKUP(D708, Sheet2!$A:$C, 3, FALSE), 0)</f>
        <v>3863.6363636363635</v>
      </c>
      <c r="G708" s="6">
        <f t="shared" si="11"/>
        <v>1174545.4545454546</v>
      </c>
    </row>
    <row r="709" spans="1:7" ht="17.25" x14ac:dyDescent="0.3">
      <c r="A709" s="22" t="s">
        <v>244</v>
      </c>
      <c r="B709" s="22" t="s">
        <v>14</v>
      </c>
      <c r="C709" s="4" t="s">
        <v>344</v>
      </c>
      <c r="D709" s="4" t="s">
        <v>32</v>
      </c>
      <c r="E709" s="7">
        <v>239</v>
      </c>
      <c r="F709" s="5">
        <f>IFERROR(VLOOKUP(D709, Sheet2!$A:$C, 3, FALSE), 0)</f>
        <v>4363.6363636363631</v>
      </c>
      <c r="G709" s="6">
        <f t="shared" si="11"/>
        <v>1042909.0909090908</v>
      </c>
    </row>
    <row r="710" spans="1:7" ht="17.25" x14ac:dyDescent="0.3">
      <c r="A710" s="23" t="s">
        <v>244</v>
      </c>
      <c r="B710" s="22" t="s">
        <v>14</v>
      </c>
      <c r="C710" s="4" t="s">
        <v>344</v>
      </c>
      <c r="D710" s="4" t="s">
        <v>15</v>
      </c>
      <c r="E710" s="10">
        <v>255</v>
      </c>
      <c r="F710" s="5">
        <f>IFERROR(VLOOKUP(D710, Sheet2!$A:$C, 3, FALSE), 0)</f>
        <v>3863.6363636363635</v>
      </c>
      <c r="G710" s="6">
        <f t="shared" si="11"/>
        <v>985227.27272727271</v>
      </c>
    </row>
    <row r="711" spans="1:7" ht="17.25" x14ac:dyDescent="0.3">
      <c r="A711" s="23" t="s">
        <v>244</v>
      </c>
      <c r="B711" s="22" t="s">
        <v>24</v>
      </c>
      <c r="C711" s="4" t="s">
        <v>342</v>
      </c>
      <c r="D711" s="4" t="s">
        <v>61</v>
      </c>
      <c r="E711" s="7">
        <v>224</v>
      </c>
      <c r="F711" s="5">
        <f>IFERROR(VLOOKUP(D711, Sheet2!$A:$C, 3, FALSE), 0)</f>
        <v>7363.6363636363631</v>
      </c>
      <c r="G711" s="6">
        <f t="shared" si="11"/>
        <v>1649454.5454545454</v>
      </c>
    </row>
    <row r="712" spans="1:7" ht="17.25" x14ac:dyDescent="0.3">
      <c r="A712" s="23" t="s">
        <v>244</v>
      </c>
      <c r="B712" s="22" t="s">
        <v>95</v>
      </c>
      <c r="C712" s="4" t="s">
        <v>344</v>
      </c>
      <c r="D712" s="4" t="s">
        <v>53</v>
      </c>
      <c r="E712" s="7">
        <v>536</v>
      </c>
      <c r="F712" s="5">
        <f>IFERROR(VLOOKUP(D712, Sheet2!$A:$C, 3, FALSE), 0)</f>
        <v>5818.181818181818</v>
      </c>
      <c r="G712" s="6">
        <f t="shared" si="11"/>
        <v>3118545.4545454546</v>
      </c>
    </row>
    <row r="713" spans="1:7" ht="17.25" x14ac:dyDescent="0.3">
      <c r="A713" s="22" t="s">
        <v>244</v>
      </c>
      <c r="B713" s="22" t="s">
        <v>95</v>
      </c>
      <c r="C713" s="4" t="s">
        <v>341</v>
      </c>
      <c r="D713" s="4" t="s">
        <v>110</v>
      </c>
      <c r="E713" s="7">
        <v>74</v>
      </c>
      <c r="F713" s="5">
        <f>IFERROR(VLOOKUP(D713, Sheet2!$A:$C, 3, FALSE), 0)</f>
        <v>2500</v>
      </c>
      <c r="G713" s="6">
        <f t="shared" si="11"/>
        <v>185000</v>
      </c>
    </row>
    <row r="714" spans="1:7" ht="17.25" x14ac:dyDescent="0.3">
      <c r="A714" s="22" t="s">
        <v>244</v>
      </c>
      <c r="B714" s="22" t="s">
        <v>95</v>
      </c>
      <c r="C714" s="4" t="s">
        <v>341</v>
      </c>
      <c r="D714" s="4" t="s">
        <v>17</v>
      </c>
      <c r="E714" s="7">
        <v>231</v>
      </c>
      <c r="F714" s="5">
        <f>IFERROR(VLOOKUP(D714, Sheet2!$A:$C, 3, FALSE), 0)</f>
        <v>11700</v>
      </c>
      <c r="G714" s="6">
        <f t="shared" si="11"/>
        <v>2702700</v>
      </c>
    </row>
    <row r="715" spans="1:7" ht="17.25" x14ac:dyDescent="0.3">
      <c r="A715" s="22" t="s">
        <v>244</v>
      </c>
      <c r="B715" s="22" t="s">
        <v>5</v>
      </c>
      <c r="C715" s="4" t="s">
        <v>337</v>
      </c>
      <c r="D715" s="4" t="s">
        <v>83</v>
      </c>
      <c r="E715" s="7">
        <v>645</v>
      </c>
      <c r="F715" s="5">
        <f>IFERROR(VLOOKUP(D715, Sheet2!$A:$C, 3, FALSE), 0)</f>
        <v>7636.363636363636</v>
      </c>
      <c r="G715" s="6">
        <f t="shared" si="11"/>
        <v>4925454.5454545449</v>
      </c>
    </row>
    <row r="716" spans="1:7" ht="17.25" x14ac:dyDescent="0.3">
      <c r="A716" s="22" t="s">
        <v>244</v>
      </c>
      <c r="B716" s="22" t="s">
        <v>25</v>
      </c>
      <c r="C716" s="4" t="s">
        <v>215</v>
      </c>
      <c r="D716" s="4" t="s">
        <v>173</v>
      </c>
      <c r="E716" s="7">
        <v>785</v>
      </c>
      <c r="F716" s="5">
        <f>IFERROR(VLOOKUP(D716, Sheet2!$A:$C, 3, FALSE), 0)</f>
        <v>7181.8181818181811</v>
      </c>
      <c r="G716" s="6">
        <f t="shared" si="11"/>
        <v>5637727.2727272725</v>
      </c>
    </row>
    <row r="717" spans="1:7" ht="17.25" x14ac:dyDescent="0.3">
      <c r="A717" s="23" t="s">
        <v>244</v>
      </c>
      <c r="B717" s="22" t="s">
        <v>150</v>
      </c>
      <c r="C717" s="4" t="s">
        <v>344</v>
      </c>
      <c r="D717" s="4" t="s">
        <v>53</v>
      </c>
      <c r="E717" s="7">
        <v>855</v>
      </c>
      <c r="F717" s="5">
        <f>IFERROR(VLOOKUP(D717, Sheet2!$A:$C, 3, FALSE), 0)</f>
        <v>5818.181818181818</v>
      </c>
      <c r="G717" s="6">
        <f t="shared" si="11"/>
        <v>4974545.4545454541</v>
      </c>
    </row>
    <row r="718" spans="1:7" ht="17.25" x14ac:dyDescent="0.3">
      <c r="A718" s="22" t="s">
        <v>244</v>
      </c>
      <c r="B718" s="22" t="s">
        <v>150</v>
      </c>
      <c r="C718" s="4" t="s">
        <v>344</v>
      </c>
      <c r="D718" s="4" t="s">
        <v>156</v>
      </c>
      <c r="E718" s="7">
        <v>285</v>
      </c>
      <c r="F718" s="5">
        <f>IFERROR(VLOOKUP(D718, Sheet2!$A:$C, 3, FALSE), 0)</f>
        <v>3454.545454545454</v>
      </c>
      <c r="G718" s="6">
        <f t="shared" si="11"/>
        <v>984545.45454545435</v>
      </c>
    </row>
    <row r="719" spans="1:7" ht="17.25" x14ac:dyDescent="0.3">
      <c r="A719" s="22" t="s">
        <v>244</v>
      </c>
      <c r="B719" s="22" t="s">
        <v>43</v>
      </c>
      <c r="C719" s="4" t="s">
        <v>341</v>
      </c>
      <c r="D719" s="4" t="s">
        <v>17</v>
      </c>
      <c r="E719" s="7">
        <v>15</v>
      </c>
      <c r="F719" s="5">
        <f>IFERROR(VLOOKUP(D719, Sheet2!$A:$C, 3, FALSE), 0)</f>
        <v>11700</v>
      </c>
      <c r="G719" s="6">
        <f t="shared" si="11"/>
        <v>175500</v>
      </c>
    </row>
    <row r="720" spans="1:7" ht="17.25" x14ac:dyDescent="0.3">
      <c r="A720" s="22" t="s">
        <v>244</v>
      </c>
      <c r="B720" s="22" t="s">
        <v>43</v>
      </c>
      <c r="C720" s="4" t="s">
        <v>341</v>
      </c>
      <c r="D720" s="4" t="s">
        <v>110</v>
      </c>
      <c r="E720" s="7">
        <v>67</v>
      </c>
      <c r="F720" s="5">
        <f>IFERROR(VLOOKUP(D720, Sheet2!$A:$C, 3, FALSE), 0)</f>
        <v>2500</v>
      </c>
      <c r="G720" s="6">
        <f t="shared" si="11"/>
        <v>167500</v>
      </c>
    </row>
    <row r="721" spans="1:7" ht="17.25" x14ac:dyDescent="0.3">
      <c r="A721" s="23" t="s">
        <v>244</v>
      </c>
      <c r="B721" s="22" t="s">
        <v>23</v>
      </c>
      <c r="C721" s="4" t="s">
        <v>344</v>
      </c>
      <c r="D721" s="3" t="s">
        <v>22</v>
      </c>
      <c r="E721" s="7">
        <v>75</v>
      </c>
      <c r="F721" s="5">
        <f>IFERROR(VLOOKUP(D721, Sheet2!$A:$C, 3, FALSE), 0)</f>
        <v>5999.9999999999991</v>
      </c>
      <c r="G721" s="6">
        <f t="shared" si="11"/>
        <v>449999.99999999994</v>
      </c>
    </row>
    <row r="722" spans="1:7" ht="17.25" x14ac:dyDescent="0.3">
      <c r="A722" s="22" t="s">
        <v>244</v>
      </c>
      <c r="B722" s="22" t="s">
        <v>23</v>
      </c>
      <c r="C722" s="4" t="s">
        <v>342</v>
      </c>
      <c r="D722" s="4" t="s">
        <v>61</v>
      </c>
      <c r="E722" s="7">
        <v>36</v>
      </c>
      <c r="F722" s="5">
        <f>IFERROR(VLOOKUP(D722, Sheet2!$A:$C, 3, FALSE), 0)</f>
        <v>7363.6363636363631</v>
      </c>
      <c r="G722" s="6">
        <f t="shared" si="11"/>
        <v>265090.90909090906</v>
      </c>
    </row>
    <row r="723" spans="1:7" ht="17.25" x14ac:dyDescent="0.3">
      <c r="A723" s="22" t="s">
        <v>244</v>
      </c>
      <c r="B723" s="22" t="s">
        <v>103</v>
      </c>
      <c r="C723" s="4" t="s">
        <v>337</v>
      </c>
      <c r="D723" s="4" t="s">
        <v>78</v>
      </c>
      <c r="E723" s="7">
        <v>1434</v>
      </c>
      <c r="F723" s="5">
        <f>IFERROR(VLOOKUP(D723, Sheet2!$A:$C, 3, FALSE), 0)</f>
        <v>14999.999999999998</v>
      </c>
      <c r="G723" s="6">
        <f t="shared" si="11"/>
        <v>21509999.999999996</v>
      </c>
    </row>
    <row r="724" spans="1:7" ht="17.25" x14ac:dyDescent="0.3">
      <c r="A724" s="22" t="s">
        <v>244</v>
      </c>
      <c r="B724" s="22" t="s">
        <v>33</v>
      </c>
      <c r="C724" s="4" t="s">
        <v>341</v>
      </c>
      <c r="D724" s="4" t="s">
        <v>17</v>
      </c>
      <c r="E724" s="7">
        <v>40</v>
      </c>
      <c r="F724" s="5">
        <f>IFERROR(VLOOKUP(D724, Sheet2!$A:$C, 3, FALSE), 0)</f>
        <v>11700</v>
      </c>
      <c r="G724" s="6">
        <f t="shared" si="11"/>
        <v>468000</v>
      </c>
    </row>
    <row r="725" spans="1:7" ht="17.25" x14ac:dyDescent="0.3">
      <c r="A725" s="22" t="s">
        <v>245</v>
      </c>
      <c r="B725" s="22" t="s">
        <v>48</v>
      </c>
      <c r="C725" s="4" t="s">
        <v>344</v>
      </c>
      <c r="D725" s="4" t="s">
        <v>39</v>
      </c>
      <c r="E725" s="7">
        <v>211</v>
      </c>
      <c r="F725" s="5">
        <f>IFERROR(VLOOKUP(D725, Sheet2!$A:$C, 3, FALSE), 0)</f>
        <v>3863.6363636363635</v>
      </c>
      <c r="G725" s="6">
        <f t="shared" si="11"/>
        <v>815227.27272727271</v>
      </c>
    </row>
    <row r="726" spans="1:7" ht="17.25" x14ac:dyDescent="0.3">
      <c r="A726" s="23" t="s">
        <v>245</v>
      </c>
      <c r="B726" s="22" t="s">
        <v>8</v>
      </c>
      <c r="C726" s="4" t="s">
        <v>338</v>
      </c>
      <c r="D726" s="4" t="s">
        <v>36</v>
      </c>
      <c r="E726" s="7">
        <v>198</v>
      </c>
      <c r="F726" s="5">
        <f>IFERROR(VLOOKUP(D726, Sheet2!$A:$C, 3, FALSE), 0)</f>
        <v>7899.9999999999991</v>
      </c>
      <c r="G726" s="6">
        <f t="shared" si="11"/>
        <v>1564199.9999999998</v>
      </c>
    </row>
    <row r="727" spans="1:7" ht="17.25" x14ac:dyDescent="0.3">
      <c r="A727" s="22" t="s">
        <v>245</v>
      </c>
      <c r="B727" s="22" t="s">
        <v>95</v>
      </c>
      <c r="C727" s="4" t="s">
        <v>341</v>
      </c>
      <c r="D727" s="4" t="s">
        <v>110</v>
      </c>
      <c r="E727" s="7">
        <v>47</v>
      </c>
      <c r="F727" s="5">
        <f>IFERROR(VLOOKUP(D727, Sheet2!$A:$C, 3, FALSE), 0)</f>
        <v>2500</v>
      </c>
      <c r="G727" s="6">
        <f t="shared" si="11"/>
        <v>117500</v>
      </c>
    </row>
    <row r="728" spans="1:7" ht="17.25" x14ac:dyDescent="0.3">
      <c r="A728" s="22" t="s">
        <v>245</v>
      </c>
      <c r="B728" s="22" t="s">
        <v>95</v>
      </c>
      <c r="C728" s="4" t="s">
        <v>341</v>
      </c>
      <c r="D728" s="4" t="s">
        <v>17</v>
      </c>
      <c r="E728" s="7">
        <v>43</v>
      </c>
      <c r="F728" s="5">
        <f>IFERROR(VLOOKUP(D728, Sheet2!$A:$C, 3, FALSE), 0)</f>
        <v>11700</v>
      </c>
      <c r="G728" s="6">
        <f t="shared" si="11"/>
        <v>503100</v>
      </c>
    </row>
    <row r="729" spans="1:7" ht="17.25" x14ac:dyDescent="0.3">
      <c r="A729" s="22" t="s">
        <v>245</v>
      </c>
      <c r="B729" s="22" t="s">
        <v>51</v>
      </c>
      <c r="C729" s="4" t="s">
        <v>343</v>
      </c>
      <c r="D729" s="4" t="s">
        <v>45</v>
      </c>
      <c r="E729" s="7">
        <v>704</v>
      </c>
      <c r="F729" s="5">
        <f>IFERROR(VLOOKUP(D729, Sheet2!$A:$C, 3, FALSE), 0)</f>
        <v>10909.090909090908</v>
      </c>
      <c r="G729" s="6">
        <f t="shared" si="11"/>
        <v>7679999.9999999991</v>
      </c>
    </row>
    <row r="730" spans="1:7" ht="17.25" x14ac:dyDescent="0.3">
      <c r="A730" s="22" t="s">
        <v>245</v>
      </c>
      <c r="B730" s="22" t="s">
        <v>25</v>
      </c>
      <c r="C730" s="4" t="s">
        <v>337</v>
      </c>
      <c r="D730" s="4" t="s">
        <v>26</v>
      </c>
      <c r="E730" s="7">
        <v>284</v>
      </c>
      <c r="F730" s="5">
        <f>IFERROR(VLOOKUP(D730, Sheet2!$A:$C, 3, FALSE), 0)</f>
        <v>21000</v>
      </c>
      <c r="G730" s="6">
        <f t="shared" si="11"/>
        <v>5964000</v>
      </c>
    </row>
    <row r="731" spans="1:7" ht="17.25" x14ac:dyDescent="0.3">
      <c r="A731" s="22" t="s">
        <v>245</v>
      </c>
      <c r="B731" s="22" t="s">
        <v>25</v>
      </c>
      <c r="C731" s="4" t="s">
        <v>337</v>
      </c>
      <c r="D731" s="4" t="s">
        <v>70</v>
      </c>
      <c r="E731" s="7">
        <v>612</v>
      </c>
      <c r="F731" s="5">
        <f>IFERROR(VLOOKUP(D731, Sheet2!$A:$C, 3, FALSE), 0)</f>
        <v>18636.363636363636</v>
      </c>
      <c r="G731" s="6">
        <f t="shared" si="11"/>
        <v>11405454.545454545</v>
      </c>
    </row>
    <row r="732" spans="1:7" ht="17.25" x14ac:dyDescent="0.3">
      <c r="A732" s="22" t="s">
        <v>245</v>
      </c>
      <c r="B732" s="22" t="s">
        <v>66</v>
      </c>
      <c r="C732" s="4" t="s">
        <v>338</v>
      </c>
      <c r="D732" s="4" t="s">
        <v>54</v>
      </c>
      <c r="E732" s="7">
        <v>895</v>
      </c>
      <c r="F732" s="5">
        <f>IFERROR(VLOOKUP(D732, Sheet2!$A:$C, 3, FALSE), 0)</f>
        <v>7899.9999999999991</v>
      </c>
      <c r="G732" s="6">
        <f t="shared" ref="G732:G795" si="12">E732*F732</f>
        <v>7070499.9999999991</v>
      </c>
    </row>
    <row r="733" spans="1:7" ht="17.25" x14ac:dyDescent="0.3">
      <c r="A733" s="22" t="s">
        <v>245</v>
      </c>
      <c r="B733" s="22" t="s">
        <v>150</v>
      </c>
      <c r="C733" s="4" t="s">
        <v>344</v>
      </c>
      <c r="D733" s="4" t="s">
        <v>156</v>
      </c>
      <c r="E733" s="7">
        <v>464</v>
      </c>
      <c r="F733" s="5">
        <f>IFERROR(VLOOKUP(D733, Sheet2!$A:$C, 3, FALSE), 0)</f>
        <v>3454.545454545454</v>
      </c>
      <c r="G733" s="6">
        <f t="shared" si="12"/>
        <v>1602909.0909090906</v>
      </c>
    </row>
    <row r="734" spans="1:7" ht="17.25" x14ac:dyDescent="0.3">
      <c r="A734" s="23" t="s">
        <v>245</v>
      </c>
      <c r="B734" s="22" t="s">
        <v>93</v>
      </c>
      <c r="C734" s="4" t="s">
        <v>341</v>
      </c>
      <c r="D734" s="4" t="s">
        <v>110</v>
      </c>
      <c r="E734" s="7">
        <v>54</v>
      </c>
      <c r="F734" s="5">
        <f>IFERROR(VLOOKUP(D734, Sheet2!$A:$C, 3, FALSE), 0)</f>
        <v>2500</v>
      </c>
      <c r="G734" s="6">
        <f t="shared" si="12"/>
        <v>135000</v>
      </c>
    </row>
    <row r="735" spans="1:7" ht="17.25" x14ac:dyDescent="0.3">
      <c r="A735" s="23" t="s">
        <v>245</v>
      </c>
      <c r="B735" s="22" t="s">
        <v>93</v>
      </c>
      <c r="C735" s="4" t="s">
        <v>341</v>
      </c>
      <c r="D735" s="4" t="s">
        <v>17</v>
      </c>
      <c r="E735" s="7">
        <v>72</v>
      </c>
      <c r="F735" s="5">
        <f>IFERROR(VLOOKUP(D735, Sheet2!$A:$C, 3, FALSE), 0)</f>
        <v>11700</v>
      </c>
      <c r="G735" s="6">
        <f t="shared" si="12"/>
        <v>842400</v>
      </c>
    </row>
    <row r="736" spans="1:7" ht="17.25" x14ac:dyDescent="0.3">
      <c r="A736" s="22" t="s">
        <v>245</v>
      </c>
      <c r="B736" s="22" t="s">
        <v>33</v>
      </c>
      <c r="C736" s="4" t="s">
        <v>344</v>
      </c>
      <c r="D736" s="4" t="s">
        <v>44</v>
      </c>
      <c r="E736" s="7">
        <v>128</v>
      </c>
      <c r="F736" s="5">
        <f>IFERROR(VLOOKUP(D736, Sheet2!$A:$C, 3, FALSE), 0)</f>
        <v>5909.090909090909</v>
      </c>
      <c r="G736" s="6">
        <f t="shared" si="12"/>
        <v>756363.63636363635</v>
      </c>
    </row>
    <row r="737" spans="1:7" ht="17.25" x14ac:dyDescent="0.3">
      <c r="A737" s="22" t="s">
        <v>245</v>
      </c>
      <c r="B737" s="22" t="s">
        <v>33</v>
      </c>
      <c r="C737" s="4" t="s">
        <v>342</v>
      </c>
      <c r="D737" s="4" t="s">
        <v>35</v>
      </c>
      <c r="E737" s="7">
        <v>175</v>
      </c>
      <c r="F737" s="5">
        <f>IFERROR(VLOOKUP(D737, Sheet2!$A:$C, 3, FALSE), 0)</f>
        <v>8363.6363636363621</v>
      </c>
      <c r="G737" s="6">
        <f t="shared" si="12"/>
        <v>1463636.3636363633</v>
      </c>
    </row>
    <row r="738" spans="1:7" ht="17.25" x14ac:dyDescent="0.3">
      <c r="A738" s="22" t="s">
        <v>245</v>
      </c>
      <c r="B738" s="22" t="s">
        <v>33</v>
      </c>
      <c r="C738" s="4" t="s">
        <v>341</v>
      </c>
      <c r="D738" s="4" t="s">
        <v>17</v>
      </c>
      <c r="E738" s="7">
        <v>41</v>
      </c>
      <c r="F738" s="5">
        <f>IFERROR(VLOOKUP(D738, Sheet2!$A:$C, 3, FALSE), 0)</f>
        <v>11700</v>
      </c>
      <c r="G738" s="6">
        <f t="shared" si="12"/>
        <v>479700</v>
      </c>
    </row>
    <row r="739" spans="1:7" ht="17.25" x14ac:dyDescent="0.3">
      <c r="A739" s="22" t="s">
        <v>245</v>
      </c>
      <c r="B739" s="22" t="s">
        <v>18</v>
      </c>
      <c r="C739" s="4" t="s">
        <v>337</v>
      </c>
      <c r="D739" s="4" t="s">
        <v>83</v>
      </c>
      <c r="E739" s="7">
        <v>505</v>
      </c>
      <c r="F739" s="5">
        <f>IFERROR(VLOOKUP(D739, Sheet2!$A:$C, 3, FALSE), 0)</f>
        <v>7636.363636363636</v>
      </c>
      <c r="G739" s="6">
        <f t="shared" si="12"/>
        <v>3856363.6363636362</v>
      </c>
    </row>
    <row r="740" spans="1:7" ht="17.25" x14ac:dyDescent="0.3">
      <c r="A740" s="22" t="s">
        <v>245</v>
      </c>
      <c r="B740" s="22" t="s">
        <v>31</v>
      </c>
      <c r="C740" s="4" t="s">
        <v>339</v>
      </c>
      <c r="D740" s="4" t="s">
        <v>10</v>
      </c>
      <c r="E740" s="7">
        <v>1116</v>
      </c>
      <c r="F740" s="5">
        <f>IFERROR(VLOOKUP(D740, Sheet2!$A:$C, 3, FALSE), 0)</f>
        <v>20818.181818181816</v>
      </c>
      <c r="G740" s="6">
        <f t="shared" si="12"/>
        <v>23233090.909090906</v>
      </c>
    </row>
    <row r="741" spans="1:7" ht="17.25" x14ac:dyDescent="0.3">
      <c r="A741" s="22" t="s">
        <v>246</v>
      </c>
      <c r="B741" s="22" t="s">
        <v>75</v>
      </c>
      <c r="C741" s="4" t="s">
        <v>342</v>
      </c>
      <c r="D741" s="4" t="s">
        <v>61</v>
      </c>
      <c r="E741" s="7">
        <v>97</v>
      </c>
      <c r="F741" s="5">
        <f>IFERROR(VLOOKUP(D741, Sheet2!$A:$C, 3, FALSE), 0)</f>
        <v>7363.6363636363631</v>
      </c>
      <c r="G741" s="6">
        <f t="shared" si="12"/>
        <v>714272.72727272718</v>
      </c>
    </row>
    <row r="742" spans="1:7" ht="17.25" x14ac:dyDescent="0.3">
      <c r="A742" s="22" t="s">
        <v>246</v>
      </c>
      <c r="B742" s="22" t="s">
        <v>43</v>
      </c>
      <c r="C742" s="4" t="s">
        <v>341</v>
      </c>
      <c r="D742" s="4" t="s">
        <v>17</v>
      </c>
      <c r="E742" s="7">
        <v>8</v>
      </c>
      <c r="F742" s="5">
        <f>IFERROR(VLOOKUP(D742, Sheet2!$A:$C, 3, FALSE), 0)</f>
        <v>11700</v>
      </c>
      <c r="G742" s="6">
        <f t="shared" si="12"/>
        <v>93600</v>
      </c>
    </row>
    <row r="743" spans="1:7" ht="17.25" x14ac:dyDescent="0.3">
      <c r="A743" s="22" t="s">
        <v>246</v>
      </c>
      <c r="B743" s="22" t="s">
        <v>43</v>
      </c>
      <c r="C743" s="4" t="s">
        <v>341</v>
      </c>
      <c r="D743" s="4" t="s">
        <v>110</v>
      </c>
      <c r="E743" s="7">
        <v>66</v>
      </c>
      <c r="F743" s="5">
        <f>IFERROR(VLOOKUP(D743, Sheet2!$A:$C, 3, FALSE), 0)</f>
        <v>2500</v>
      </c>
      <c r="G743" s="6">
        <f t="shared" si="12"/>
        <v>165000</v>
      </c>
    </row>
    <row r="744" spans="1:7" ht="17.25" x14ac:dyDescent="0.3">
      <c r="A744" s="22" t="s">
        <v>246</v>
      </c>
      <c r="B744" s="22" t="s">
        <v>93</v>
      </c>
      <c r="C744" s="4" t="s">
        <v>341</v>
      </c>
      <c r="D744" s="4" t="s">
        <v>110</v>
      </c>
      <c r="E744" s="7">
        <v>74</v>
      </c>
      <c r="F744" s="5">
        <f>IFERROR(VLOOKUP(D744, Sheet2!$A:$C, 3, FALSE), 0)</f>
        <v>2500</v>
      </c>
      <c r="G744" s="6">
        <f t="shared" si="12"/>
        <v>185000</v>
      </c>
    </row>
    <row r="745" spans="1:7" ht="17.25" x14ac:dyDescent="0.3">
      <c r="A745" s="22" t="s">
        <v>246</v>
      </c>
      <c r="B745" s="22" t="s">
        <v>93</v>
      </c>
      <c r="C745" s="4" t="s">
        <v>341</v>
      </c>
      <c r="D745" s="4" t="s">
        <v>17</v>
      </c>
      <c r="E745" s="7">
        <v>188</v>
      </c>
      <c r="F745" s="5">
        <f>IFERROR(VLOOKUP(D745, Sheet2!$A:$C, 3, FALSE), 0)</f>
        <v>11700</v>
      </c>
      <c r="G745" s="6">
        <f t="shared" si="12"/>
        <v>2199600</v>
      </c>
    </row>
    <row r="746" spans="1:7" ht="17.25" x14ac:dyDescent="0.3">
      <c r="A746" s="22" t="s">
        <v>246</v>
      </c>
      <c r="B746" s="22" t="s">
        <v>21</v>
      </c>
      <c r="C746" s="4" t="s">
        <v>339</v>
      </c>
      <c r="D746" s="4" t="s">
        <v>76</v>
      </c>
      <c r="E746" s="7">
        <v>300</v>
      </c>
      <c r="F746" s="5">
        <f>IFERROR(VLOOKUP(D746, Sheet2!$A:$C, 3, FALSE), 0)</f>
        <v>8636.363636363636</v>
      </c>
      <c r="G746" s="6">
        <f t="shared" si="12"/>
        <v>2590909.0909090908</v>
      </c>
    </row>
    <row r="747" spans="1:7" ht="17.25" x14ac:dyDescent="0.3">
      <c r="A747" s="22" t="s">
        <v>246</v>
      </c>
      <c r="B747" s="22" t="s">
        <v>33</v>
      </c>
      <c r="C747" s="4" t="s">
        <v>340</v>
      </c>
      <c r="D747" s="4" t="s">
        <v>49</v>
      </c>
      <c r="E747" s="7">
        <v>172</v>
      </c>
      <c r="F747" s="5">
        <f>IFERROR(VLOOKUP(D747, Sheet2!$A:$C, 3, FALSE), 0)</f>
        <v>38000</v>
      </c>
      <c r="G747" s="6">
        <f t="shared" si="12"/>
        <v>6536000</v>
      </c>
    </row>
    <row r="748" spans="1:7" ht="17.25" x14ac:dyDescent="0.3">
      <c r="A748" s="23" t="s">
        <v>247</v>
      </c>
      <c r="B748" s="22" t="s">
        <v>11</v>
      </c>
      <c r="C748" s="4" t="s">
        <v>339</v>
      </c>
      <c r="D748" s="4" t="s">
        <v>80</v>
      </c>
      <c r="E748" s="7">
        <v>42</v>
      </c>
      <c r="F748" s="5">
        <f>IFERROR(VLOOKUP(D748, Sheet2!$A:$C, 3, FALSE), 0)</f>
        <v>18272.727272727272</v>
      </c>
      <c r="G748" s="6">
        <f t="shared" si="12"/>
        <v>767454.54545454541</v>
      </c>
    </row>
    <row r="749" spans="1:7" ht="17.25" x14ac:dyDescent="0.3">
      <c r="A749" s="22" t="s">
        <v>247</v>
      </c>
      <c r="B749" s="22" t="s">
        <v>19</v>
      </c>
      <c r="C749" s="4" t="s">
        <v>344</v>
      </c>
      <c r="D749" s="4" t="s">
        <v>151</v>
      </c>
      <c r="E749" s="7">
        <v>6440</v>
      </c>
      <c r="F749" s="5">
        <f>IFERROR(VLOOKUP(D749, Sheet2!$A:$C, 3, FALSE), 0)</f>
        <v>727.27272727272725</v>
      </c>
      <c r="G749" s="6">
        <f t="shared" si="12"/>
        <v>4683636.3636363633</v>
      </c>
    </row>
    <row r="750" spans="1:7" ht="17.25" x14ac:dyDescent="0.3">
      <c r="A750" s="23" t="s">
        <v>247</v>
      </c>
      <c r="B750" s="22" t="s">
        <v>95</v>
      </c>
      <c r="C750" s="4" t="s">
        <v>341</v>
      </c>
      <c r="D750" s="4" t="s">
        <v>110</v>
      </c>
      <c r="E750" s="7">
        <v>52</v>
      </c>
      <c r="F750" s="5">
        <f>IFERROR(VLOOKUP(D750, Sheet2!$A:$C, 3, FALSE), 0)</f>
        <v>2500</v>
      </c>
      <c r="G750" s="6">
        <f t="shared" si="12"/>
        <v>130000</v>
      </c>
    </row>
    <row r="751" spans="1:7" ht="17.25" x14ac:dyDescent="0.3">
      <c r="A751" s="23" t="s">
        <v>247</v>
      </c>
      <c r="B751" s="22" t="s">
        <v>95</v>
      </c>
      <c r="C751" s="4" t="s">
        <v>341</v>
      </c>
      <c r="D751" s="4" t="s">
        <v>17</v>
      </c>
      <c r="E751" s="7">
        <v>125</v>
      </c>
      <c r="F751" s="5">
        <f>IFERROR(VLOOKUP(D751, Sheet2!$A:$C, 3, FALSE), 0)</f>
        <v>11700</v>
      </c>
      <c r="G751" s="6">
        <f t="shared" si="12"/>
        <v>1462500</v>
      </c>
    </row>
    <row r="752" spans="1:7" ht="17.25" x14ac:dyDescent="0.3">
      <c r="A752" s="22" t="s">
        <v>247</v>
      </c>
      <c r="B752" s="22" t="s">
        <v>25</v>
      </c>
      <c r="C752" s="4" t="s">
        <v>215</v>
      </c>
      <c r="D752" s="4" t="s">
        <v>264</v>
      </c>
      <c r="E752" s="7">
        <v>929</v>
      </c>
      <c r="F752" s="5">
        <f>IFERROR(VLOOKUP(D752, Sheet2!$A:$C, 3, FALSE), 0)</f>
        <v>4454.545454545454</v>
      </c>
      <c r="G752" s="6">
        <f t="shared" si="12"/>
        <v>4138272.7272727266</v>
      </c>
    </row>
    <row r="753" spans="1:7" ht="17.25" x14ac:dyDescent="0.3">
      <c r="A753" s="22" t="s">
        <v>247</v>
      </c>
      <c r="B753" s="22" t="s">
        <v>25</v>
      </c>
      <c r="C753" s="4" t="s">
        <v>344</v>
      </c>
      <c r="D753" s="4" t="s">
        <v>15</v>
      </c>
      <c r="E753" s="7">
        <v>356</v>
      </c>
      <c r="F753" s="5">
        <f>IFERROR(VLOOKUP(D753, Sheet2!$A:$C, 3, FALSE), 0)</f>
        <v>3863.6363636363635</v>
      </c>
      <c r="G753" s="6">
        <f t="shared" si="12"/>
        <v>1375454.5454545454</v>
      </c>
    </row>
    <row r="754" spans="1:7" ht="17.25" x14ac:dyDescent="0.3">
      <c r="A754" s="23" t="s">
        <v>247</v>
      </c>
      <c r="B754" s="22" t="s">
        <v>31</v>
      </c>
      <c r="C754" s="4" t="s">
        <v>343</v>
      </c>
      <c r="D754" s="4" t="s">
        <v>45</v>
      </c>
      <c r="E754" s="7">
        <v>867</v>
      </c>
      <c r="F754" s="5">
        <f>IFERROR(VLOOKUP(D754, Sheet2!$A:$C, 3, FALSE), 0)</f>
        <v>10909.090909090908</v>
      </c>
      <c r="G754" s="6">
        <f t="shared" si="12"/>
        <v>9458181.8181818165</v>
      </c>
    </row>
    <row r="755" spans="1:7" ht="17.25" x14ac:dyDescent="0.3">
      <c r="A755" s="22" t="s">
        <v>247</v>
      </c>
      <c r="B755" s="22" t="s">
        <v>33</v>
      </c>
      <c r="C755" s="4" t="s">
        <v>344</v>
      </c>
      <c r="D755" s="4" t="s">
        <v>20</v>
      </c>
      <c r="E755" s="7">
        <v>89</v>
      </c>
      <c r="F755" s="5">
        <f>IFERROR(VLOOKUP(D755, Sheet2!$A:$C, 3, FALSE), 0)</f>
        <v>6999.9999999999991</v>
      </c>
      <c r="G755" s="6">
        <f t="shared" si="12"/>
        <v>622999.99999999988</v>
      </c>
    </row>
    <row r="756" spans="1:7" ht="17.25" x14ac:dyDescent="0.3">
      <c r="A756" s="22" t="s">
        <v>247</v>
      </c>
      <c r="B756" s="22" t="s">
        <v>33</v>
      </c>
      <c r="C756" s="4" t="s">
        <v>341</v>
      </c>
      <c r="D756" s="4" t="s">
        <v>110</v>
      </c>
      <c r="E756" s="7">
        <v>94</v>
      </c>
      <c r="F756" s="5">
        <f>IFERROR(VLOOKUP(D756, Sheet2!$A:$C, 3, FALSE), 0)</f>
        <v>2500</v>
      </c>
      <c r="G756" s="6">
        <f t="shared" si="12"/>
        <v>235000</v>
      </c>
    </row>
    <row r="757" spans="1:7" ht="17.25" x14ac:dyDescent="0.3">
      <c r="A757" s="22" t="s">
        <v>247</v>
      </c>
      <c r="B757" s="22" t="s">
        <v>33</v>
      </c>
      <c r="C757" s="4" t="s">
        <v>215</v>
      </c>
      <c r="D757" s="4" t="s">
        <v>143</v>
      </c>
      <c r="E757" s="7">
        <v>464</v>
      </c>
      <c r="F757" s="5">
        <f>IFERROR(VLOOKUP(D757, Sheet2!$A:$C, 3, FALSE), 0)</f>
        <v>15454.545454545454</v>
      </c>
      <c r="G757" s="6">
        <f t="shared" si="12"/>
        <v>7170909.0909090908</v>
      </c>
    </row>
    <row r="758" spans="1:7" ht="17.25" x14ac:dyDescent="0.3">
      <c r="A758" s="22" t="s">
        <v>247</v>
      </c>
      <c r="B758" s="22" t="s">
        <v>23</v>
      </c>
      <c r="C758" s="4" t="s">
        <v>340</v>
      </c>
      <c r="D758" s="4" t="s">
        <v>49</v>
      </c>
      <c r="E758" s="7">
        <v>180</v>
      </c>
      <c r="F758" s="5">
        <f>IFERROR(VLOOKUP(D758, Sheet2!$A:$C, 3, FALSE), 0)</f>
        <v>38000</v>
      </c>
      <c r="G758" s="6">
        <f t="shared" si="12"/>
        <v>6840000</v>
      </c>
    </row>
    <row r="759" spans="1:7" ht="17.25" x14ac:dyDescent="0.3">
      <c r="A759" s="23" t="s">
        <v>248</v>
      </c>
      <c r="B759" s="22" t="s">
        <v>75</v>
      </c>
      <c r="C759" s="4" t="s">
        <v>344</v>
      </c>
      <c r="D759" s="4" t="s">
        <v>22</v>
      </c>
      <c r="E759" s="7">
        <v>116</v>
      </c>
      <c r="F759" s="5">
        <f>IFERROR(VLOOKUP(D759, Sheet2!$A:$C, 3, FALSE), 0)</f>
        <v>5999.9999999999991</v>
      </c>
      <c r="G759" s="6">
        <f t="shared" si="12"/>
        <v>695999.99999999988</v>
      </c>
    </row>
    <row r="760" spans="1:7" ht="17.25" x14ac:dyDescent="0.3">
      <c r="A760" s="23" t="s">
        <v>248</v>
      </c>
      <c r="B760" s="22" t="s">
        <v>60</v>
      </c>
      <c r="C760" s="4" t="s">
        <v>337</v>
      </c>
      <c r="D760" s="4" t="s">
        <v>128</v>
      </c>
      <c r="E760" s="7">
        <v>304</v>
      </c>
      <c r="F760" s="5">
        <f>IFERROR(VLOOKUP(D760, Sheet2!$A:$C, 3, FALSE), 0)</f>
        <v>20727.272727272724</v>
      </c>
      <c r="G760" s="6">
        <f t="shared" si="12"/>
        <v>6301090.9090909082</v>
      </c>
    </row>
    <row r="761" spans="1:7" ht="17.25" x14ac:dyDescent="0.3">
      <c r="A761" s="23" t="s">
        <v>248</v>
      </c>
      <c r="B761" s="22" t="s">
        <v>24</v>
      </c>
      <c r="C761" s="4" t="s">
        <v>338</v>
      </c>
      <c r="D761" s="4" t="s">
        <v>73</v>
      </c>
      <c r="E761" s="7">
        <v>373</v>
      </c>
      <c r="F761" s="5">
        <f>IFERROR(VLOOKUP(D761, Sheet2!$A:$C, 3, FALSE), 0)</f>
        <v>7899.9999999999991</v>
      </c>
      <c r="G761" s="6">
        <f t="shared" si="12"/>
        <v>2946699.9999999995</v>
      </c>
    </row>
    <row r="762" spans="1:7" ht="17.25" x14ac:dyDescent="0.3">
      <c r="A762" s="23" t="s">
        <v>248</v>
      </c>
      <c r="B762" s="22" t="s">
        <v>24</v>
      </c>
      <c r="C762" s="4" t="s">
        <v>342</v>
      </c>
      <c r="D762" s="4" t="s">
        <v>61</v>
      </c>
      <c r="E762" s="7">
        <v>105</v>
      </c>
      <c r="F762" s="5">
        <f>IFERROR(VLOOKUP(D762, Sheet2!$A:$C, 3, FALSE), 0)</f>
        <v>7363.6363636363631</v>
      </c>
      <c r="G762" s="6">
        <f t="shared" si="12"/>
        <v>773181.81818181812</v>
      </c>
    </row>
    <row r="763" spans="1:7" ht="17.25" x14ac:dyDescent="0.3">
      <c r="A763" s="23" t="s">
        <v>248</v>
      </c>
      <c r="B763" s="22" t="s">
        <v>8</v>
      </c>
      <c r="C763" s="4" t="s">
        <v>342</v>
      </c>
      <c r="D763" s="4" t="s">
        <v>35</v>
      </c>
      <c r="E763" s="7">
        <v>94</v>
      </c>
      <c r="F763" s="5">
        <f>IFERROR(VLOOKUP(D763, Sheet2!$A:$C, 3, FALSE), 0)</f>
        <v>8363.6363636363621</v>
      </c>
      <c r="G763" s="6">
        <f t="shared" si="12"/>
        <v>786181.818181818</v>
      </c>
    </row>
    <row r="764" spans="1:7" ht="17.25" x14ac:dyDescent="0.3">
      <c r="A764" s="23" t="s">
        <v>248</v>
      </c>
      <c r="B764" s="22" t="s">
        <v>43</v>
      </c>
      <c r="C764" s="4" t="s">
        <v>342</v>
      </c>
      <c r="D764" s="9" t="s">
        <v>35</v>
      </c>
      <c r="E764" s="7">
        <v>73</v>
      </c>
      <c r="F764" s="5">
        <f>IFERROR(VLOOKUP(D764, Sheet2!$A:$C, 3, FALSE), 0)</f>
        <v>8363.6363636363621</v>
      </c>
      <c r="G764" s="6">
        <f t="shared" si="12"/>
        <v>610545.45454545447</v>
      </c>
    </row>
    <row r="765" spans="1:7" ht="17.25" x14ac:dyDescent="0.3">
      <c r="A765" s="23" t="s">
        <v>248</v>
      </c>
      <c r="B765" s="22" t="s">
        <v>93</v>
      </c>
      <c r="C765" s="4" t="s">
        <v>341</v>
      </c>
      <c r="D765" s="4" t="s">
        <v>110</v>
      </c>
      <c r="E765" s="7">
        <v>86</v>
      </c>
      <c r="F765" s="5">
        <f>IFERROR(VLOOKUP(D765, Sheet2!$A:$C, 3, FALSE), 0)</f>
        <v>2500</v>
      </c>
      <c r="G765" s="6">
        <f t="shared" si="12"/>
        <v>215000</v>
      </c>
    </row>
    <row r="766" spans="1:7" ht="17.25" x14ac:dyDescent="0.3">
      <c r="A766" s="23" t="s">
        <v>248</v>
      </c>
      <c r="B766" s="22" t="s">
        <v>93</v>
      </c>
      <c r="C766" s="4" t="s">
        <v>341</v>
      </c>
      <c r="D766" s="4" t="s">
        <v>17</v>
      </c>
      <c r="E766" s="7">
        <v>360</v>
      </c>
      <c r="F766" s="5">
        <f>IFERROR(VLOOKUP(D766, Sheet2!$A:$C, 3, FALSE), 0)</f>
        <v>11700</v>
      </c>
      <c r="G766" s="6">
        <f t="shared" si="12"/>
        <v>4212000</v>
      </c>
    </row>
    <row r="767" spans="1:7" ht="17.25" x14ac:dyDescent="0.3">
      <c r="A767" s="22" t="s">
        <v>249</v>
      </c>
      <c r="B767" s="22" t="s">
        <v>11</v>
      </c>
      <c r="C767" s="4" t="s">
        <v>343</v>
      </c>
      <c r="D767" s="4" t="s">
        <v>168</v>
      </c>
      <c r="E767" s="7">
        <v>58</v>
      </c>
      <c r="F767" s="5">
        <f>IFERROR(VLOOKUP(D767, Sheet2!$A:$C, 3, FALSE), 0)</f>
        <v>27999.999999999996</v>
      </c>
      <c r="G767" s="6">
        <f t="shared" si="12"/>
        <v>1623999.9999999998</v>
      </c>
    </row>
    <row r="768" spans="1:7" ht="17.25" x14ac:dyDescent="0.3">
      <c r="A768" s="23" t="s">
        <v>249</v>
      </c>
      <c r="B768" s="22" t="s">
        <v>48</v>
      </c>
      <c r="C768" s="4" t="s">
        <v>344</v>
      </c>
      <c r="D768" s="4" t="s">
        <v>39</v>
      </c>
      <c r="E768" s="7">
        <v>589</v>
      </c>
      <c r="F768" s="5">
        <f>IFERROR(VLOOKUP(D768, Sheet2!$A:$C, 3, FALSE), 0)</f>
        <v>3863.6363636363635</v>
      </c>
      <c r="G768" s="6">
        <f t="shared" si="12"/>
        <v>2275681.8181818179</v>
      </c>
    </row>
    <row r="769" spans="1:7" ht="17.25" x14ac:dyDescent="0.3">
      <c r="A769" s="23" t="s">
        <v>249</v>
      </c>
      <c r="B769" s="22" t="s">
        <v>95</v>
      </c>
      <c r="C769" s="4" t="s">
        <v>341</v>
      </c>
      <c r="D769" s="4" t="s">
        <v>110</v>
      </c>
      <c r="E769" s="7">
        <v>41</v>
      </c>
      <c r="F769" s="5">
        <f>IFERROR(VLOOKUP(D769, Sheet2!$A:$C, 3, FALSE), 0)</f>
        <v>2500</v>
      </c>
      <c r="G769" s="6">
        <f t="shared" si="12"/>
        <v>102500</v>
      </c>
    </row>
    <row r="770" spans="1:7" ht="17.25" x14ac:dyDescent="0.3">
      <c r="A770" s="23" t="s">
        <v>249</v>
      </c>
      <c r="B770" s="22" t="s">
        <v>95</v>
      </c>
      <c r="C770" s="4" t="s">
        <v>341</v>
      </c>
      <c r="D770" s="4" t="s">
        <v>17</v>
      </c>
      <c r="E770" s="7">
        <v>274</v>
      </c>
      <c r="F770" s="5">
        <f>IFERROR(VLOOKUP(D770, Sheet2!$A:$C, 3, FALSE), 0)</f>
        <v>11700</v>
      </c>
      <c r="G770" s="6">
        <f t="shared" si="12"/>
        <v>3205800</v>
      </c>
    </row>
    <row r="771" spans="1:7" ht="17.25" x14ac:dyDescent="0.3">
      <c r="A771" s="22" t="s">
        <v>249</v>
      </c>
      <c r="B771" s="22" t="s">
        <v>25</v>
      </c>
      <c r="C771" s="4" t="s">
        <v>344</v>
      </c>
      <c r="D771" s="4" t="s">
        <v>22</v>
      </c>
      <c r="E771" s="7">
        <v>375</v>
      </c>
      <c r="F771" s="5">
        <f>IFERROR(VLOOKUP(D771, Sheet2!$A:$C, 3, FALSE), 0)</f>
        <v>5999.9999999999991</v>
      </c>
      <c r="G771" s="6">
        <f t="shared" si="12"/>
        <v>2249999.9999999995</v>
      </c>
    </row>
    <row r="772" spans="1:7" ht="17.25" x14ac:dyDescent="0.3">
      <c r="A772" s="22" t="s">
        <v>249</v>
      </c>
      <c r="B772" s="22" t="s">
        <v>25</v>
      </c>
      <c r="C772" s="4" t="s">
        <v>215</v>
      </c>
      <c r="D772" s="4" t="s">
        <v>264</v>
      </c>
      <c r="E772" s="7">
        <v>2</v>
      </c>
      <c r="F772" s="5">
        <f>IFERROR(VLOOKUP(D772, Sheet2!$A:$C, 3, FALSE), 0)</f>
        <v>4454.545454545454</v>
      </c>
      <c r="G772" s="6">
        <f t="shared" si="12"/>
        <v>8909.0909090909081</v>
      </c>
    </row>
    <row r="773" spans="1:7" ht="17.25" x14ac:dyDescent="0.3">
      <c r="A773" s="23" t="s">
        <v>249</v>
      </c>
      <c r="B773" s="22" t="s">
        <v>31</v>
      </c>
      <c r="C773" s="4" t="s">
        <v>344</v>
      </c>
      <c r="D773" s="4" t="s">
        <v>32</v>
      </c>
      <c r="E773" s="7">
        <v>369</v>
      </c>
      <c r="F773" s="5">
        <f>IFERROR(VLOOKUP(D773, Sheet2!$A:$C, 3, FALSE), 0)</f>
        <v>4363.6363636363631</v>
      </c>
      <c r="G773" s="6">
        <f t="shared" si="12"/>
        <v>1610181.8181818179</v>
      </c>
    </row>
    <row r="774" spans="1:7" ht="17.25" x14ac:dyDescent="0.3">
      <c r="A774" s="23" t="s">
        <v>249</v>
      </c>
      <c r="B774" s="22" t="s">
        <v>150</v>
      </c>
      <c r="C774" s="4" t="s">
        <v>344</v>
      </c>
      <c r="D774" s="4" t="s">
        <v>59</v>
      </c>
      <c r="E774" s="7">
        <v>333</v>
      </c>
      <c r="F774" s="5">
        <f>IFERROR(VLOOKUP(D774, Sheet2!$A:$C, 3, FALSE), 0)</f>
        <v>4681.8181818181811</v>
      </c>
      <c r="G774" s="6">
        <f t="shared" si="12"/>
        <v>1559045.4545454544</v>
      </c>
    </row>
    <row r="775" spans="1:7" ht="17.25" x14ac:dyDescent="0.3">
      <c r="A775" s="23" t="s">
        <v>249</v>
      </c>
      <c r="B775" s="22" t="s">
        <v>23</v>
      </c>
      <c r="C775" s="4" t="s">
        <v>344</v>
      </c>
      <c r="D775" s="4" t="s">
        <v>156</v>
      </c>
      <c r="E775" s="7">
        <v>98</v>
      </c>
      <c r="F775" s="5">
        <f>IFERROR(VLOOKUP(D775, Sheet2!$A:$C, 3, FALSE), 0)</f>
        <v>3454.545454545454</v>
      </c>
      <c r="G775" s="6">
        <f t="shared" si="12"/>
        <v>338545.45454545447</v>
      </c>
    </row>
    <row r="776" spans="1:7" ht="17.25" x14ac:dyDescent="0.3">
      <c r="A776" s="23" t="s">
        <v>249</v>
      </c>
      <c r="B776" s="22" t="s">
        <v>23</v>
      </c>
      <c r="C776" s="4" t="s">
        <v>344</v>
      </c>
      <c r="D776" s="4" t="s">
        <v>156</v>
      </c>
      <c r="E776" s="7">
        <v>116</v>
      </c>
      <c r="F776" s="5">
        <f>IFERROR(VLOOKUP(D776, Sheet2!$A:$C, 3, FALSE), 0)</f>
        <v>3454.545454545454</v>
      </c>
      <c r="G776" s="6">
        <f t="shared" si="12"/>
        <v>400727.27272727265</v>
      </c>
    </row>
    <row r="777" spans="1:7" ht="17.25" x14ac:dyDescent="0.3">
      <c r="A777" s="22" t="s">
        <v>249</v>
      </c>
      <c r="B777" s="22" t="s">
        <v>46</v>
      </c>
      <c r="C777" s="4" t="s">
        <v>344</v>
      </c>
      <c r="D777" s="4" t="s">
        <v>163</v>
      </c>
      <c r="E777" s="7">
        <v>322</v>
      </c>
      <c r="F777" s="5">
        <f>IFERROR(VLOOKUP(D777, Sheet2!$A:$C, 3, FALSE), 0)</f>
        <v>5899.9999999999991</v>
      </c>
      <c r="G777" s="6">
        <f t="shared" si="12"/>
        <v>1899799.9999999998</v>
      </c>
    </row>
    <row r="778" spans="1:7" ht="17.25" x14ac:dyDescent="0.3">
      <c r="A778" s="22" t="s">
        <v>249</v>
      </c>
      <c r="B778" s="22" t="s">
        <v>41</v>
      </c>
      <c r="C778" s="4" t="s">
        <v>344</v>
      </c>
      <c r="D778" s="4" t="s">
        <v>22</v>
      </c>
      <c r="E778" s="7">
        <v>312</v>
      </c>
      <c r="F778" s="5">
        <f>IFERROR(VLOOKUP(D778, Sheet2!$A:$C, 3, FALSE), 0)</f>
        <v>5999.9999999999991</v>
      </c>
      <c r="G778" s="6">
        <f t="shared" si="12"/>
        <v>1871999.9999999998</v>
      </c>
    </row>
    <row r="779" spans="1:7" ht="17.25" x14ac:dyDescent="0.3">
      <c r="A779" s="22" t="s">
        <v>249</v>
      </c>
      <c r="B779" s="22" t="s">
        <v>103</v>
      </c>
      <c r="C779" s="4" t="s">
        <v>338</v>
      </c>
      <c r="D779" s="4" t="s">
        <v>28</v>
      </c>
      <c r="E779" s="7">
        <v>662</v>
      </c>
      <c r="F779" s="5">
        <f>IFERROR(VLOOKUP(D779, Sheet2!$A:$C, 3, FALSE), 0)</f>
        <v>7899.9999999999991</v>
      </c>
      <c r="G779" s="6">
        <f t="shared" si="12"/>
        <v>5229799.9999999991</v>
      </c>
    </row>
    <row r="780" spans="1:7" ht="17.25" x14ac:dyDescent="0.3">
      <c r="A780" s="23" t="s">
        <v>249</v>
      </c>
      <c r="B780" s="22" t="s">
        <v>69</v>
      </c>
      <c r="C780" s="4" t="s">
        <v>344</v>
      </c>
      <c r="D780" s="4" t="s">
        <v>162</v>
      </c>
      <c r="E780" s="7">
        <v>357</v>
      </c>
      <c r="F780" s="5">
        <f>IFERROR(VLOOKUP(D780, Sheet2!$A:$C, 3, FALSE), 0)</f>
        <v>6318.181818181818</v>
      </c>
      <c r="G780" s="6">
        <f t="shared" si="12"/>
        <v>2255590.9090909092</v>
      </c>
    </row>
    <row r="781" spans="1:7" ht="17.25" x14ac:dyDescent="0.3">
      <c r="A781" s="22" t="s">
        <v>249</v>
      </c>
      <c r="B781" s="22" t="s">
        <v>33</v>
      </c>
      <c r="C781" s="4" t="s">
        <v>344</v>
      </c>
      <c r="D781" s="4" t="s">
        <v>52</v>
      </c>
      <c r="E781" s="7">
        <v>286</v>
      </c>
      <c r="F781" s="5">
        <f>IFERROR(VLOOKUP(D781, Sheet2!$A:$C, 3, FALSE), 0)</f>
        <v>5999.9999999999991</v>
      </c>
      <c r="G781" s="6">
        <f t="shared" si="12"/>
        <v>1715999.9999999998</v>
      </c>
    </row>
    <row r="782" spans="1:7" ht="17.25" x14ac:dyDescent="0.3">
      <c r="A782" s="22" t="s">
        <v>249</v>
      </c>
      <c r="B782" s="22" t="s">
        <v>33</v>
      </c>
      <c r="C782" s="4" t="s">
        <v>341</v>
      </c>
      <c r="D782" s="4" t="s">
        <v>17</v>
      </c>
      <c r="E782" s="7">
        <v>149</v>
      </c>
      <c r="F782" s="5">
        <f>IFERROR(VLOOKUP(D782, Sheet2!$A:$C, 3, FALSE), 0)</f>
        <v>11700</v>
      </c>
      <c r="G782" s="6">
        <f t="shared" si="12"/>
        <v>1743300</v>
      </c>
    </row>
    <row r="783" spans="1:7" ht="17.25" x14ac:dyDescent="0.3">
      <c r="A783" s="22" t="s">
        <v>250</v>
      </c>
      <c r="B783" s="22" t="s">
        <v>63</v>
      </c>
      <c r="C783" s="4" t="s">
        <v>341</v>
      </c>
      <c r="D783" s="4" t="s">
        <v>17</v>
      </c>
      <c r="E783" s="7">
        <v>206</v>
      </c>
      <c r="F783" s="5">
        <f>IFERROR(VLOOKUP(D783, Sheet2!$A:$C, 3, FALSE), 0)</f>
        <v>11700</v>
      </c>
      <c r="G783" s="6">
        <f t="shared" si="12"/>
        <v>2410200</v>
      </c>
    </row>
    <row r="784" spans="1:7" ht="17.25" x14ac:dyDescent="0.3">
      <c r="A784" s="23" t="s">
        <v>250</v>
      </c>
      <c r="B784" s="22" t="s">
        <v>48</v>
      </c>
      <c r="C784" s="4" t="s">
        <v>344</v>
      </c>
      <c r="D784" s="4" t="s">
        <v>39</v>
      </c>
      <c r="E784" s="7">
        <v>495</v>
      </c>
      <c r="F784" s="5">
        <f>IFERROR(VLOOKUP(D784, Sheet2!$A:$C, 3, FALSE), 0)</f>
        <v>3863.6363636363635</v>
      </c>
      <c r="G784" s="6">
        <f t="shared" si="12"/>
        <v>1912500</v>
      </c>
    </row>
    <row r="785" spans="1:7" ht="17.25" x14ac:dyDescent="0.3">
      <c r="A785" s="23" t="s">
        <v>250</v>
      </c>
      <c r="B785" s="22" t="s">
        <v>14</v>
      </c>
      <c r="C785" s="4" t="s">
        <v>343</v>
      </c>
      <c r="D785" s="4" t="s">
        <v>109</v>
      </c>
      <c r="E785" s="7">
        <v>553</v>
      </c>
      <c r="F785" s="5">
        <f>IFERROR(VLOOKUP(D785, Sheet2!$A:$C, 3, FALSE), 0)</f>
        <v>10454.545454545454</v>
      </c>
      <c r="G785" s="6">
        <f t="shared" si="12"/>
        <v>5781363.6363636358</v>
      </c>
    </row>
    <row r="786" spans="1:7" ht="17.25" x14ac:dyDescent="0.3">
      <c r="A786" s="23" t="s">
        <v>250</v>
      </c>
      <c r="B786" s="22" t="s">
        <v>95</v>
      </c>
      <c r="C786" s="4" t="s">
        <v>341</v>
      </c>
      <c r="D786" s="4" t="s">
        <v>110</v>
      </c>
      <c r="E786" s="7">
        <v>47</v>
      </c>
      <c r="F786" s="5">
        <f>IFERROR(VLOOKUP(D786, Sheet2!$A:$C, 3, FALSE), 0)</f>
        <v>2500</v>
      </c>
      <c r="G786" s="6">
        <f t="shared" si="12"/>
        <v>117500</v>
      </c>
    </row>
    <row r="787" spans="1:7" ht="17.25" x14ac:dyDescent="0.3">
      <c r="A787" s="23" t="s">
        <v>250</v>
      </c>
      <c r="B787" s="22" t="s">
        <v>95</v>
      </c>
      <c r="C787" s="4" t="s">
        <v>341</v>
      </c>
      <c r="D787" s="4" t="s">
        <v>17</v>
      </c>
      <c r="E787" s="7">
        <v>59</v>
      </c>
      <c r="F787" s="5">
        <f>IFERROR(VLOOKUP(D787, Sheet2!$A:$C, 3, FALSE), 0)</f>
        <v>11700</v>
      </c>
      <c r="G787" s="6">
        <f t="shared" si="12"/>
        <v>690300</v>
      </c>
    </row>
    <row r="788" spans="1:7" ht="17.25" x14ac:dyDescent="0.3">
      <c r="A788" s="23" t="s">
        <v>250</v>
      </c>
      <c r="B788" s="22" t="s">
        <v>25</v>
      </c>
      <c r="C788" s="4" t="s">
        <v>337</v>
      </c>
      <c r="D788" s="4" t="s">
        <v>70</v>
      </c>
      <c r="E788" s="7">
        <v>796</v>
      </c>
      <c r="F788" s="5">
        <f>IFERROR(VLOOKUP(D788, Sheet2!$A:$C, 3, FALSE), 0)</f>
        <v>18636.363636363636</v>
      </c>
      <c r="G788" s="6">
        <f t="shared" si="12"/>
        <v>14834545.454545455</v>
      </c>
    </row>
    <row r="789" spans="1:7" ht="17.25" x14ac:dyDescent="0.3">
      <c r="A789" s="22" t="s">
        <v>250</v>
      </c>
      <c r="B789" s="22" t="s">
        <v>25</v>
      </c>
      <c r="C789" s="4" t="s">
        <v>344</v>
      </c>
      <c r="D789" s="4" t="s">
        <v>22</v>
      </c>
      <c r="E789" s="7">
        <v>190</v>
      </c>
      <c r="F789" s="5">
        <f>IFERROR(VLOOKUP(D789, Sheet2!$A:$C, 3, FALSE), 0)</f>
        <v>5999.9999999999991</v>
      </c>
      <c r="G789" s="6">
        <f t="shared" si="12"/>
        <v>1139999.9999999998</v>
      </c>
    </row>
    <row r="790" spans="1:7" ht="17.25" x14ac:dyDescent="0.3">
      <c r="A790" s="23" t="s">
        <v>250</v>
      </c>
      <c r="B790" s="22" t="s">
        <v>93</v>
      </c>
      <c r="C790" s="4" t="s">
        <v>341</v>
      </c>
      <c r="D790" s="4" t="s">
        <v>110</v>
      </c>
      <c r="E790" s="7">
        <v>58</v>
      </c>
      <c r="F790" s="5">
        <f>IFERROR(VLOOKUP(D790, Sheet2!$A:$C, 3, FALSE), 0)</f>
        <v>2500</v>
      </c>
      <c r="G790" s="6">
        <f t="shared" si="12"/>
        <v>145000</v>
      </c>
    </row>
    <row r="791" spans="1:7" ht="17.25" x14ac:dyDescent="0.3">
      <c r="A791" s="23" t="s">
        <v>250</v>
      </c>
      <c r="B791" s="22" t="s">
        <v>93</v>
      </c>
      <c r="C791" s="4" t="s">
        <v>341</v>
      </c>
      <c r="D791" s="4" t="s">
        <v>17</v>
      </c>
      <c r="E791" s="7">
        <v>83</v>
      </c>
      <c r="F791" s="5">
        <f>IFERROR(VLOOKUP(D791, Sheet2!$A:$C, 3, FALSE), 0)</f>
        <v>11700</v>
      </c>
      <c r="G791" s="6">
        <f t="shared" si="12"/>
        <v>971100</v>
      </c>
    </row>
    <row r="792" spans="1:7" ht="17.25" x14ac:dyDescent="0.3">
      <c r="A792" s="23" t="s">
        <v>250</v>
      </c>
      <c r="B792" s="22" t="s">
        <v>93</v>
      </c>
      <c r="C792" s="4" t="s">
        <v>342</v>
      </c>
      <c r="D792" s="4" t="s">
        <v>61</v>
      </c>
      <c r="E792" s="7">
        <v>225</v>
      </c>
      <c r="F792" s="5">
        <f>IFERROR(VLOOKUP(D792, Sheet2!$A:$C, 3, FALSE), 0)</f>
        <v>7363.6363636363631</v>
      </c>
      <c r="G792" s="6">
        <f t="shared" si="12"/>
        <v>1656818.1818181816</v>
      </c>
    </row>
    <row r="793" spans="1:7" ht="17.25" x14ac:dyDescent="0.3">
      <c r="A793" s="22" t="s">
        <v>250</v>
      </c>
      <c r="B793" s="22" t="s">
        <v>23</v>
      </c>
      <c r="C793" s="4" t="s">
        <v>344</v>
      </c>
      <c r="D793" s="4" t="s">
        <v>156</v>
      </c>
      <c r="E793" s="7">
        <v>187</v>
      </c>
      <c r="F793" s="5">
        <f>IFERROR(VLOOKUP(D793, Sheet2!$A:$C, 3, FALSE), 0)</f>
        <v>3454.545454545454</v>
      </c>
      <c r="G793" s="6">
        <f t="shared" si="12"/>
        <v>645999.99999999988</v>
      </c>
    </row>
    <row r="794" spans="1:7" ht="17.25" x14ac:dyDescent="0.3">
      <c r="A794" s="23" t="s">
        <v>250</v>
      </c>
      <c r="B794" s="22" t="s">
        <v>69</v>
      </c>
      <c r="C794" s="4" t="s">
        <v>338</v>
      </c>
      <c r="D794" s="4" t="s">
        <v>36</v>
      </c>
      <c r="E794" s="7">
        <v>827</v>
      </c>
      <c r="F794" s="5">
        <f>IFERROR(VLOOKUP(D794, Sheet2!$A:$C, 3, FALSE), 0)</f>
        <v>7899.9999999999991</v>
      </c>
      <c r="G794" s="6">
        <f t="shared" si="12"/>
        <v>6533299.9999999991</v>
      </c>
    </row>
    <row r="795" spans="1:7" ht="17.25" x14ac:dyDescent="0.3">
      <c r="A795" s="22" t="s">
        <v>250</v>
      </c>
      <c r="B795" s="22" t="s">
        <v>33</v>
      </c>
      <c r="C795" s="4" t="s">
        <v>341</v>
      </c>
      <c r="D795" s="4" t="s">
        <v>110</v>
      </c>
      <c r="E795" s="7">
        <v>133</v>
      </c>
      <c r="F795" s="5">
        <f>IFERROR(VLOOKUP(D795, Sheet2!$A:$C, 3, FALSE), 0)</f>
        <v>2500</v>
      </c>
      <c r="G795" s="6">
        <f t="shared" si="12"/>
        <v>332500</v>
      </c>
    </row>
    <row r="796" spans="1:7" ht="17.25" x14ac:dyDescent="0.3">
      <c r="A796" s="22" t="s">
        <v>251</v>
      </c>
      <c r="B796" s="22" t="s">
        <v>75</v>
      </c>
      <c r="C796" s="4" t="s">
        <v>338</v>
      </c>
      <c r="D796" s="4" t="s">
        <v>36</v>
      </c>
      <c r="E796" s="7">
        <v>345</v>
      </c>
      <c r="F796" s="5">
        <f>IFERROR(VLOOKUP(D796, Sheet2!$A:$C, 3, FALSE), 0)</f>
        <v>7899.9999999999991</v>
      </c>
      <c r="G796" s="6">
        <f t="shared" ref="G796:G859" si="13">E796*F796</f>
        <v>2725499.9999999995</v>
      </c>
    </row>
    <row r="797" spans="1:7" ht="17.25" x14ac:dyDescent="0.3">
      <c r="A797" s="23" t="s">
        <v>251</v>
      </c>
      <c r="B797" s="22" t="s">
        <v>60</v>
      </c>
      <c r="C797" s="4" t="s">
        <v>337</v>
      </c>
      <c r="D797" s="4" t="s">
        <v>26</v>
      </c>
      <c r="E797" s="7">
        <v>228</v>
      </c>
      <c r="F797" s="5">
        <f>IFERROR(VLOOKUP(D797, Sheet2!$A:$C, 3, FALSE), 0)</f>
        <v>21000</v>
      </c>
      <c r="G797" s="6">
        <f t="shared" si="13"/>
        <v>4788000</v>
      </c>
    </row>
    <row r="798" spans="1:7" ht="17.25" x14ac:dyDescent="0.3">
      <c r="A798" s="23" t="s">
        <v>251</v>
      </c>
      <c r="B798" s="22" t="s">
        <v>24</v>
      </c>
      <c r="C798" s="4" t="s">
        <v>338</v>
      </c>
      <c r="D798" s="4" t="s">
        <v>73</v>
      </c>
      <c r="E798" s="7">
        <v>271</v>
      </c>
      <c r="F798" s="5">
        <f>IFERROR(VLOOKUP(D798, Sheet2!$A:$C, 3, FALSE), 0)</f>
        <v>7899.9999999999991</v>
      </c>
      <c r="G798" s="6">
        <f t="shared" si="13"/>
        <v>2140899.9999999995</v>
      </c>
    </row>
    <row r="799" spans="1:7" ht="17.25" x14ac:dyDescent="0.3">
      <c r="A799" s="23" t="s">
        <v>251</v>
      </c>
      <c r="B799" s="22" t="s">
        <v>27</v>
      </c>
      <c r="C799" s="4" t="s">
        <v>337</v>
      </c>
      <c r="D799" s="4" t="s">
        <v>9</v>
      </c>
      <c r="E799" s="7">
        <v>1291</v>
      </c>
      <c r="F799" s="5">
        <f>IFERROR(VLOOKUP(D799, Sheet2!$A:$C, 3, FALSE), 0)</f>
        <v>18636.363636363636</v>
      </c>
      <c r="G799" s="6">
        <f t="shared" si="13"/>
        <v>24059545.454545453</v>
      </c>
    </row>
    <row r="800" spans="1:7" ht="17.25" x14ac:dyDescent="0.3">
      <c r="A800" s="23" t="s">
        <v>251</v>
      </c>
      <c r="B800" s="22" t="s">
        <v>27</v>
      </c>
      <c r="C800" s="4" t="s">
        <v>339</v>
      </c>
      <c r="D800" s="4" t="s">
        <v>76</v>
      </c>
      <c r="E800" s="7">
        <v>9</v>
      </c>
      <c r="F800" s="5">
        <f>IFERROR(VLOOKUP(D800, Sheet2!$A:$C, 3, FALSE), 0)</f>
        <v>8636.363636363636</v>
      </c>
      <c r="G800" s="6">
        <f t="shared" si="13"/>
        <v>77727.272727272721</v>
      </c>
    </row>
    <row r="801" spans="1:7" ht="17.25" x14ac:dyDescent="0.3">
      <c r="A801" s="23" t="s">
        <v>251</v>
      </c>
      <c r="B801" s="22" t="s">
        <v>43</v>
      </c>
      <c r="C801" s="4" t="s">
        <v>341</v>
      </c>
      <c r="D801" s="4" t="s">
        <v>17</v>
      </c>
      <c r="E801" s="7">
        <v>39</v>
      </c>
      <c r="F801" s="5">
        <f>IFERROR(VLOOKUP(D801, Sheet2!$A:$C, 3, FALSE), 0)</f>
        <v>11700</v>
      </c>
      <c r="G801" s="6">
        <f t="shared" si="13"/>
        <v>456300</v>
      </c>
    </row>
    <row r="802" spans="1:7" ht="17.25" x14ac:dyDescent="0.3">
      <c r="A802" s="23" t="s">
        <v>251</v>
      </c>
      <c r="B802" s="22" t="s">
        <v>43</v>
      </c>
      <c r="C802" s="4" t="s">
        <v>341</v>
      </c>
      <c r="D802" s="4" t="s">
        <v>110</v>
      </c>
      <c r="E802" s="7">
        <v>77</v>
      </c>
      <c r="F802" s="5">
        <f>IFERROR(VLOOKUP(D802, Sheet2!$A:$C, 3, FALSE), 0)</f>
        <v>2500</v>
      </c>
      <c r="G802" s="6">
        <f t="shared" si="13"/>
        <v>192500</v>
      </c>
    </row>
    <row r="803" spans="1:7" ht="17.25" x14ac:dyDescent="0.3">
      <c r="A803" s="22" t="s">
        <v>251</v>
      </c>
      <c r="B803" s="22" t="s">
        <v>93</v>
      </c>
      <c r="C803" s="4" t="s">
        <v>341</v>
      </c>
      <c r="D803" s="4" t="s">
        <v>110</v>
      </c>
      <c r="E803" s="7">
        <v>70</v>
      </c>
      <c r="F803" s="5">
        <f>IFERROR(VLOOKUP(D803, Sheet2!$A:$C, 3, FALSE), 0)</f>
        <v>2500</v>
      </c>
      <c r="G803" s="6">
        <f t="shared" si="13"/>
        <v>175000</v>
      </c>
    </row>
    <row r="804" spans="1:7" ht="17.25" x14ac:dyDescent="0.3">
      <c r="A804" s="22" t="s">
        <v>251</v>
      </c>
      <c r="B804" s="22" t="s">
        <v>93</v>
      </c>
      <c r="C804" s="4" t="s">
        <v>341</v>
      </c>
      <c r="D804" s="4" t="s">
        <v>17</v>
      </c>
      <c r="E804" s="10">
        <v>181</v>
      </c>
      <c r="F804" s="5">
        <f>IFERROR(VLOOKUP(D804, Sheet2!$A:$C, 3, FALSE), 0)</f>
        <v>11700</v>
      </c>
      <c r="G804" s="6">
        <f t="shared" si="13"/>
        <v>2117700</v>
      </c>
    </row>
    <row r="805" spans="1:7" ht="17.25" x14ac:dyDescent="0.3">
      <c r="A805" s="22" t="s">
        <v>251</v>
      </c>
      <c r="B805" s="22" t="s">
        <v>41</v>
      </c>
      <c r="C805" s="4" t="s">
        <v>339</v>
      </c>
      <c r="D805" s="4" t="s">
        <v>117</v>
      </c>
      <c r="E805" s="10">
        <v>1677</v>
      </c>
      <c r="F805" s="5">
        <f>IFERROR(VLOOKUP(D805, Sheet2!$A:$C, 3, FALSE), 0)</f>
        <v>11363.636363636362</v>
      </c>
      <c r="G805" s="6">
        <f t="shared" si="13"/>
        <v>19056818.18181818</v>
      </c>
    </row>
    <row r="806" spans="1:7" ht="17.25" x14ac:dyDescent="0.3">
      <c r="A806" s="22" t="s">
        <v>252</v>
      </c>
      <c r="B806" s="22" t="s">
        <v>99</v>
      </c>
      <c r="C806" s="4" t="s">
        <v>342</v>
      </c>
      <c r="D806" s="4" t="s">
        <v>35</v>
      </c>
      <c r="E806" s="7">
        <v>271</v>
      </c>
      <c r="F806" s="5">
        <f>IFERROR(VLOOKUP(D806, Sheet2!$A:$C, 3, FALSE), 0)</f>
        <v>8363.6363636363621</v>
      </c>
      <c r="G806" s="6">
        <f t="shared" si="13"/>
        <v>2266545.4545454541</v>
      </c>
    </row>
    <row r="807" spans="1:7" ht="17.25" x14ac:dyDescent="0.3">
      <c r="A807" s="23" t="s">
        <v>252</v>
      </c>
      <c r="B807" s="22" t="s">
        <v>16</v>
      </c>
      <c r="C807" s="4" t="s">
        <v>344</v>
      </c>
      <c r="D807" s="4" t="s">
        <v>151</v>
      </c>
      <c r="E807" s="7">
        <v>9069</v>
      </c>
      <c r="F807" s="5">
        <f>IFERROR(VLOOKUP(D807, Sheet2!$A:$C, 3, FALSE), 0)</f>
        <v>727.27272727272725</v>
      </c>
      <c r="G807" s="6">
        <f t="shared" si="13"/>
        <v>6595636.3636363633</v>
      </c>
    </row>
    <row r="808" spans="1:7" ht="17.25" x14ac:dyDescent="0.3">
      <c r="A808" s="23" t="s">
        <v>252</v>
      </c>
      <c r="B808" s="22" t="s">
        <v>95</v>
      </c>
      <c r="C808" s="4" t="s">
        <v>341</v>
      </c>
      <c r="D808" s="4" t="s">
        <v>110</v>
      </c>
      <c r="E808" s="7">
        <v>60</v>
      </c>
      <c r="F808" s="5">
        <f>IFERROR(VLOOKUP(D808, Sheet2!$A:$C, 3, FALSE), 0)</f>
        <v>2500</v>
      </c>
      <c r="G808" s="6">
        <f t="shared" si="13"/>
        <v>150000</v>
      </c>
    </row>
    <row r="809" spans="1:7" ht="17.25" x14ac:dyDescent="0.3">
      <c r="A809" s="23" t="s">
        <v>252</v>
      </c>
      <c r="B809" s="22" t="s">
        <v>95</v>
      </c>
      <c r="C809" s="4" t="s">
        <v>341</v>
      </c>
      <c r="D809" s="4" t="s">
        <v>17</v>
      </c>
      <c r="E809" s="7">
        <v>115</v>
      </c>
      <c r="F809" s="5">
        <f>IFERROR(VLOOKUP(D809, Sheet2!$A:$C, 3, FALSE), 0)</f>
        <v>11700</v>
      </c>
      <c r="G809" s="6">
        <f t="shared" si="13"/>
        <v>1345500</v>
      </c>
    </row>
    <row r="810" spans="1:7" ht="17.25" x14ac:dyDescent="0.3">
      <c r="A810" s="22" t="s">
        <v>252</v>
      </c>
      <c r="B810" s="22" t="s">
        <v>31</v>
      </c>
      <c r="C810" s="4" t="s">
        <v>344</v>
      </c>
      <c r="D810" s="4" t="s">
        <v>32</v>
      </c>
      <c r="E810" s="7">
        <v>659</v>
      </c>
      <c r="F810" s="5">
        <f>IFERROR(VLOOKUP(D810, Sheet2!$A:$C, 3, FALSE), 0)</f>
        <v>4363.6363636363631</v>
      </c>
      <c r="G810" s="6">
        <f t="shared" si="13"/>
        <v>2875636.3636363633</v>
      </c>
    </row>
    <row r="811" spans="1:7" ht="17.25" x14ac:dyDescent="0.3">
      <c r="A811" s="22" t="s">
        <v>252</v>
      </c>
      <c r="B811" s="22" t="s">
        <v>29</v>
      </c>
      <c r="C811" s="4" t="s">
        <v>339</v>
      </c>
      <c r="D811" s="9" t="s">
        <v>76</v>
      </c>
      <c r="E811" s="7">
        <v>833</v>
      </c>
      <c r="F811" s="5">
        <f>IFERROR(VLOOKUP(D811, Sheet2!$A:$C, 3, FALSE), 0)</f>
        <v>8636.363636363636</v>
      </c>
      <c r="G811" s="6">
        <f t="shared" si="13"/>
        <v>7194090.9090909092</v>
      </c>
    </row>
    <row r="812" spans="1:7" ht="17.25" x14ac:dyDescent="0.3">
      <c r="A812" s="23" t="s">
        <v>252</v>
      </c>
      <c r="B812" s="22" t="s">
        <v>41</v>
      </c>
      <c r="C812" s="4" t="s">
        <v>344</v>
      </c>
      <c r="D812" s="4" t="s">
        <v>22</v>
      </c>
      <c r="E812" s="7">
        <v>182</v>
      </c>
      <c r="F812" s="5">
        <f>IFERROR(VLOOKUP(D812, Sheet2!$A:$C, 3, FALSE), 0)</f>
        <v>5999.9999999999991</v>
      </c>
      <c r="G812" s="6">
        <f t="shared" si="13"/>
        <v>1091999.9999999998</v>
      </c>
    </row>
    <row r="813" spans="1:7" ht="17.25" x14ac:dyDescent="0.3">
      <c r="A813" s="22" t="s">
        <v>252</v>
      </c>
      <c r="B813" s="22" t="s">
        <v>33</v>
      </c>
      <c r="C813" s="4" t="s">
        <v>341</v>
      </c>
      <c r="D813" s="4" t="s">
        <v>110</v>
      </c>
      <c r="E813" s="7">
        <v>194</v>
      </c>
      <c r="F813" s="5">
        <f>IFERROR(VLOOKUP(D813, Sheet2!$A:$C, 3, FALSE), 0)</f>
        <v>2500</v>
      </c>
      <c r="G813" s="6">
        <f t="shared" si="13"/>
        <v>485000</v>
      </c>
    </row>
    <row r="814" spans="1:7" ht="17.25" x14ac:dyDescent="0.3">
      <c r="A814" s="22" t="s">
        <v>252</v>
      </c>
      <c r="B814" s="22" t="s">
        <v>33</v>
      </c>
      <c r="C814" s="4" t="s">
        <v>341</v>
      </c>
      <c r="D814" s="4" t="s">
        <v>17</v>
      </c>
      <c r="E814" s="7">
        <v>403</v>
      </c>
      <c r="F814" s="5">
        <f>IFERROR(VLOOKUP(D814, Sheet2!$A:$C, 3, FALSE), 0)</f>
        <v>11700</v>
      </c>
      <c r="G814" s="6">
        <f t="shared" si="13"/>
        <v>4715100</v>
      </c>
    </row>
    <row r="815" spans="1:7" ht="17.25" x14ac:dyDescent="0.3">
      <c r="A815" s="22" t="s">
        <v>252</v>
      </c>
      <c r="B815" s="22" t="s">
        <v>29</v>
      </c>
      <c r="C815" s="4" t="s">
        <v>337</v>
      </c>
      <c r="D815" s="4" t="s">
        <v>9</v>
      </c>
      <c r="E815" s="7">
        <v>1037</v>
      </c>
      <c r="F815" s="5">
        <f>IFERROR(VLOOKUP(D815, Sheet2!$A:$C, 3, FALSE), 0)</f>
        <v>18636.363636363636</v>
      </c>
      <c r="G815" s="6">
        <f t="shared" si="13"/>
        <v>19325909.09090909</v>
      </c>
    </row>
    <row r="816" spans="1:7" ht="17.25" x14ac:dyDescent="0.3">
      <c r="A816" s="22" t="s">
        <v>253</v>
      </c>
      <c r="B816" s="22" t="s">
        <v>60</v>
      </c>
      <c r="C816" s="4" t="s">
        <v>342</v>
      </c>
      <c r="D816" s="4" t="s">
        <v>61</v>
      </c>
      <c r="E816" s="7">
        <v>89</v>
      </c>
      <c r="F816" s="5">
        <f>IFERROR(VLOOKUP(D816, Sheet2!$A:$C, 3, FALSE), 0)</f>
        <v>7363.6363636363631</v>
      </c>
      <c r="G816" s="6">
        <f t="shared" si="13"/>
        <v>655363.63636363635</v>
      </c>
    </row>
    <row r="817" spans="1:7" ht="17.25" x14ac:dyDescent="0.3">
      <c r="A817" s="22" t="s">
        <v>253</v>
      </c>
      <c r="B817" s="22" t="s">
        <v>48</v>
      </c>
      <c r="C817" s="4" t="s">
        <v>344</v>
      </c>
      <c r="D817" s="4" t="s">
        <v>52</v>
      </c>
      <c r="E817" s="7">
        <v>389</v>
      </c>
      <c r="F817" s="5">
        <f>IFERROR(VLOOKUP(D817, Sheet2!$A:$C, 3, FALSE), 0)</f>
        <v>5999.9999999999991</v>
      </c>
      <c r="G817" s="6">
        <f t="shared" si="13"/>
        <v>2333999.9999999995</v>
      </c>
    </row>
    <row r="818" spans="1:7" ht="17.25" x14ac:dyDescent="0.3">
      <c r="A818" s="22" t="s">
        <v>253</v>
      </c>
      <c r="B818" s="22" t="s">
        <v>24</v>
      </c>
      <c r="C818" s="4" t="s">
        <v>342</v>
      </c>
      <c r="D818" s="4" t="s">
        <v>61</v>
      </c>
      <c r="E818" s="7">
        <v>85</v>
      </c>
      <c r="F818" s="5">
        <f>IFERROR(VLOOKUP(D818, Sheet2!$A:$C, 3, FALSE), 0)</f>
        <v>7363.6363636363631</v>
      </c>
      <c r="G818" s="6">
        <f t="shared" si="13"/>
        <v>625909.09090909082</v>
      </c>
    </row>
    <row r="819" spans="1:7" ht="17.25" x14ac:dyDescent="0.3">
      <c r="A819" s="22" t="s">
        <v>253</v>
      </c>
      <c r="B819" s="22" t="s">
        <v>99</v>
      </c>
      <c r="C819" s="4" t="s">
        <v>338</v>
      </c>
      <c r="D819" s="4" t="s">
        <v>28</v>
      </c>
      <c r="E819" s="7">
        <v>305</v>
      </c>
      <c r="F819" s="5">
        <f>IFERROR(VLOOKUP(D819, Sheet2!$A:$C, 3, FALSE), 0)</f>
        <v>7899.9999999999991</v>
      </c>
      <c r="G819" s="6">
        <f t="shared" si="13"/>
        <v>2409499.9999999995</v>
      </c>
    </row>
    <row r="820" spans="1:7" ht="17.25" x14ac:dyDescent="0.3">
      <c r="A820" s="22" t="s">
        <v>253</v>
      </c>
      <c r="B820" s="22" t="s">
        <v>21</v>
      </c>
      <c r="C820" s="4" t="s">
        <v>344</v>
      </c>
      <c r="D820" s="4" t="s">
        <v>44</v>
      </c>
      <c r="E820" s="7">
        <v>198</v>
      </c>
      <c r="F820" s="5">
        <f>IFERROR(VLOOKUP(D820, Sheet2!$A:$C, 3, FALSE), 0)</f>
        <v>5909.090909090909</v>
      </c>
      <c r="G820" s="6">
        <f t="shared" si="13"/>
        <v>1170000</v>
      </c>
    </row>
    <row r="821" spans="1:7" ht="17.25" x14ac:dyDescent="0.3">
      <c r="A821" s="22" t="s">
        <v>253</v>
      </c>
      <c r="B821" s="22" t="s">
        <v>21</v>
      </c>
      <c r="C821" s="4" t="s">
        <v>216</v>
      </c>
      <c r="D821" s="4" t="s">
        <v>84</v>
      </c>
      <c r="E821" s="7">
        <v>564</v>
      </c>
      <c r="F821" s="5">
        <f>IFERROR(VLOOKUP(D821, Sheet2!$A:$C, 3, FALSE), 0)</f>
        <v>2090.9090909090905</v>
      </c>
      <c r="G821" s="6">
        <f t="shared" si="13"/>
        <v>1179272.7272727271</v>
      </c>
    </row>
    <row r="822" spans="1:7" ht="17.25" x14ac:dyDescent="0.3">
      <c r="A822" s="23" t="s">
        <v>253</v>
      </c>
      <c r="B822" s="22" t="s">
        <v>43</v>
      </c>
      <c r="C822" s="4" t="s">
        <v>341</v>
      </c>
      <c r="D822" s="4" t="s">
        <v>17</v>
      </c>
      <c r="E822" s="7">
        <v>32</v>
      </c>
      <c r="F822" s="5">
        <f>IFERROR(VLOOKUP(D822, Sheet2!$A:$C, 3, FALSE), 0)</f>
        <v>11700</v>
      </c>
      <c r="G822" s="6">
        <f t="shared" si="13"/>
        <v>374400</v>
      </c>
    </row>
    <row r="823" spans="1:7" ht="17.25" x14ac:dyDescent="0.3">
      <c r="A823" s="23" t="s">
        <v>253</v>
      </c>
      <c r="B823" s="22" t="s">
        <v>43</v>
      </c>
      <c r="C823" s="4" t="s">
        <v>341</v>
      </c>
      <c r="D823" s="4" t="s">
        <v>110</v>
      </c>
      <c r="E823" s="7">
        <v>75</v>
      </c>
      <c r="F823" s="5">
        <f>IFERROR(VLOOKUP(D823, Sheet2!$A:$C, 3, FALSE), 0)</f>
        <v>2500</v>
      </c>
      <c r="G823" s="6">
        <f t="shared" si="13"/>
        <v>187500</v>
      </c>
    </row>
    <row r="824" spans="1:7" ht="17.25" x14ac:dyDescent="0.3">
      <c r="A824" s="22" t="s">
        <v>253</v>
      </c>
      <c r="B824" s="22" t="s">
        <v>93</v>
      </c>
      <c r="C824" s="4" t="s">
        <v>341</v>
      </c>
      <c r="D824" s="4" t="s">
        <v>110</v>
      </c>
      <c r="E824" s="7">
        <v>64</v>
      </c>
      <c r="F824" s="5">
        <f>IFERROR(VLOOKUP(D824, Sheet2!$A:$C, 3, FALSE), 0)</f>
        <v>2500</v>
      </c>
      <c r="G824" s="6">
        <f t="shared" si="13"/>
        <v>160000</v>
      </c>
    </row>
    <row r="825" spans="1:7" ht="17.25" x14ac:dyDescent="0.3">
      <c r="A825" s="22" t="s">
        <v>253</v>
      </c>
      <c r="B825" s="22" t="s">
        <v>93</v>
      </c>
      <c r="C825" s="4" t="s">
        <v>341</v>
      </c>
      <c r="D825" s="4" t="s">
        <v>17</v>
      </c>
      <c r="E825" s="7">
        <v>307</v>
      </c>
      <c r="F825" s="5">
        <f>IFERROR(VLOOKUP(D825, Sheet2!$A:$C, 3, FALSE), 0)</f>
        <v>11700</v>
      </c>
      <c r="G825" s="6">
        <f t="shared" si="13"/>
        <v>3591900</v>
      </c>
    </row>
    <row r="826" spans="1:7" ht="17.25" x14ac:dyDescent="0.3">
      <c r="A826" s="23" t="s">
        <v>253</v>
      </c>
      <c r="B826" s="22" t="s">
        <v>23</v>
      </c>
      <c r="C826" s="4" t="s">
        <v>344</v>
      </c>
      <c r="D826" s="3" t="s">
        <v>22</v>
      </c>
      <c r="E826" s="7">
        <v>108</v>
      </c>
      <c r="F826" s="5">
        <f>IFERROR(VLOOKUP(D826, Sheet2!$A:$C, 3, FALSE), 0)</f>
        <v>5999.9999999999991</v>
      </c>
      <c r="G826" s="6">
        <f t="shared" si="13"/>
        <v>647999.99999999988</v>
      </c>
    </row>
    <row r="827" spans="1:7" ht="17.25" x14ac:dyDescent="0.3">
      <c r="A827" s="23" t="s">
        <v>253</v>
      </c>
      <c r="B827" s="22" t="s">
        <v>23</v>
      </c>
      <c r="C827" s="4" t="s">
        <v>344</v>
      </c>
      <c r="D827" s="3" t="s">
        <v>22</v>
      </c>
      <c r="E827" s="7">
        <v>105</v>
      </c>
      <c r="F827" s="5">
        <f>IFERROR(VLOOKUP(D827, Sheet2!$A:$C, 3, FALSE), 0)</f>
        <v>5999.9999999999991</v>
      </c>
      <c r="G827" s="6">
        <f t="shared" si="13"/>
        <v>629999.99999999988</v>
      </c>
    </row>
    <row r="828" spans="1:7" ht="17.25" x14ac:dyDescent="0.3">
      <c r="A828" s="22" t="s">
        <v>253</v>
      </c>
      <c r="B828" s="22" t="s">
        <v>23</v>
      </c>
      <c r="C828" s="4" t="s">
        <v>342</v>
      </c>
      <c r="D828" s="4" t="s">
        <v>61</v>
      </c>
      <c r="E828" s="7">
        <v>61</v>
      </c>
      <c r="F828" s="5">
        <f>IFERROR(VLOOKUP(D828, Sheet2!$A:$C, 3, FALSE), 0)</f>
        <v>7363.6363636363631</v>
      </c>
      <c r="G828" s="6">
        <f t="shared" si="13"/>
        <v>449181.81818181812</v>
      </c>
    </row>
    <row r="829" spans="1:7" ht="17.25" x14ac:dyDescent="0.3">
      <c r="A829" s="22" t="s">
        <v>253</v>
      </c>
      <c r="B829" s="22" t="s">
        <v>23</v>
      </c>
      <c r="C829" s="4" t="s">
        <v>342</v>
      </c>
      <c r="D829" s="4" t="s">
        <v>61</v>
      </c>
      <c r="E829" s="7">
        <v>60</v>
      </c>
      <c r="F829" s="5">
        <f>IFERROR(VLOOKUP(D829, Sheet2!$A:$C, 3, FALSE), 0)</f>
        <v>7363.6363636363631</v>
      </c>
      <c r="G829" s="6">
        <f t="shared" si="13"/>
        <v>441818.18181818177</v>
      </c>
    </row>
    <row r="830" spans="1:7" ht="17.25" x14ac:dyDescent="0.3">
      <c r="A830" s="22" t="s">
        <v>253</v>
      </c>
      <c r="B830" s="22" t="s">
        <v>21</v>
      </c>
      <c r="C830" s="4" t="s">
        <v>340</v>
      </c>
      <c r="D830" s="4" t="s">
        <v>49</v>
      </c>
      <c r="E830" s="7">
        <v>500</v>
      </c>
      <c r="F830" s="5">
        <f>IFERROR(VLOOKUP(D830, Sheet2!$A:$C, 3, FALSE), 0)</f>
        <v>38000</v>
      </c>
      <c r="G830" s="6">
        <f t="shared" si="13"/>
        <v>19000000</v>
      </c>
    </row>
    <row r="831" spans="1:7" ht="17.25" x14ac:dyDescent="0.3">
      <c r="A831" s="22" t="s">
        <v>254</v>
      </c>
      <c r="B831" s="22" t="s">
        <v>63</v>
      </c>
      <c r="C831" s="4" t="s">
        <v>341</v>
      </c>
      <c r="D831" s="4" t="s">
        <v>17</v>
      </c>
      <c r="E831" s="7">
        <v>201</v>
      </c>
      <c r="F831" s="5">
        <f>IFERROR(VLOOKUP(D831, Sheet2!$A:$C, 3, FALSE), 0)</f>
        <v>11700</v>
      </c>
      <c r="G831" s="6">
        <f t="shared" si="13"/>
        <v>2351700</v>
      </c>
    </row>
    <row r="832" spans="1:7" ht="17.25" x14ac:dyDescent="0.3">
      <c r="A832" s="23" t="s">
        <v>254</v>
      </c>
      <c r="B832" s="22" t="s">
        <v>75</v>
      </c>
      <c r="C832" s="4" t="s">
        <v>344</v>
      </c>
      <c r="D832" s="4" t="s">
        <v>22</v>
      </c>
      <c r="E832" s="7">
        <v>130</v>
      </c>
      <c r="F832" s="5">
        <f>IFERROR(VLOOKUP(D832, Sheet2!$A:$C, 3, FALSE), 0)</f>
        <v>5999.9999999999991</v>
      </c>
      <c r="G832" s="6">
        <f t="shared" si="13"/>
        <v>779999.99999999988</v>
      </c>
    </row>
    <row r="833" spans="1:7" ht="17.25" x14ac:dyDescent="0.3">
      <c r="A833" s="22" t="s">
        <v>254</v>
      </c>
      <c r="B833" s="22" t="s">
        <v>75</v>
      </c>
      <c r="C833" s="4" t="s">
        <v>342</v>
      </c>
      <c r="D833" s="4" t="s">
        <v>61</v>
      </c>
      <c r="E833" s="7">
        <v>319</v>
      </c>
      <c r="F833" s="5">
        <f>IFERROR(VLOOKUP(D833, Sheet2!$A:$C, 3, FALSE), 0)</f>
        <v>7363.6363636363631</v>
      </c>
      <c r="G833" s="6">
        <f t="shared" si="13"/>
        <v>2349000</v>
      </c>
    </row>
    <row r="834" spans="1:7" ht="17.25" x14ac:dyDescent="0.3">
      <c r="A834" s="22" t="s">
        <v>254</v>
      </c>
      <c r="B834" s="22" t="s">
        <v>75</v>
      </c>
      <c r="C834" s="4" t="s">
        <v>341</v>
      </c>
      <c r="D834" s="4" t="s">
        <v>68</v>
      </c>
      <c r="E834" s="7">
        <v>216</v>
      </c>
      <c r="F834" s="5">
        <f>IFERROR(VLOOKUP(D834, Sheet2!$A:$C, 3, FALSE), 0)</f>
        <v>13400</v>
      </c>
      <c r="G834" s="6">
        <f t="shared" si="13"/>
        <v>2894400</v>
      </c>
    </row>
    <row r="835" spans="1:7" ht="17.25" x14ac:dyDescent="0.3">
      <c r="A835" s="22" t="s">
        <v>254</v>
      </c>
      <c r="B835" s="22" t="s">
        <v>75</v>
      </c>
      <c r="C835" s="4" t="s">
        <v>215</v>
      </c>
      <c r="D835" s="4" t="s">
        <v>177</v>
      </c>
      <c r="E835" s="7">
        <v>696</v>
      </c>
      <c r="F835" s="5">
        <f>IFERROR(VLOOKUP(D835, Sheet2!$A:$C, 3, FALSE), 0)</f>
        <v>10000</v>
      </c>
      <c r="G835" s="6">
        <f t="shared" si="13"/>
        <v>6960000</v>
      </c>
    </row>
    <row r="836" spans="1:7" ht="17.25" x14ac:dyDescent="0.3">
      <c r="A836" s="22" t="s">
        <v>254</v>
      </c>
      <c r="B836" s="22" t="s">
        <v>48</v>
      </c>
      <c r="C836" s="4" t="s">
        <v>344</v>
      </c>
      <c r="D836" s="4" t="s">
        <v>52</v>
      </c>
      <c r="E836" s="7">
        <v>347</v>
      </c>
      <c r="F836" s="5">
        <f>IFERROR(VLOOKUP(D836, Sheet2!$A:$C, 3, FALSE), 0)</f>
        <v>5999.9999999999991</v>
      </c>
      <c r="G836" s="6">
        <f t="shared" si="13"/>
        <v>2081999.9999999998</v>
      </c>
    </row>
    <row r="837" spans="1:7" ht="17.25" x14ac:dyDescent="0.3">
      <c r="A837" s="23" t="s">
        <v>254</v>
      </c>
      <c r="B837" s="22" t="s">
        <v>14</v>
      </c>
      <c r="C837" s="4" t="s">
        <v>344</v>
      </c>
      <c r="D837" s="4" t="s">
        <v>22</v>
      </c>
      <c r="E837" s="7">
        <v>382</v>
      </c>
      <c r="F837" s="5">
        <f>IFERROR(VLOOKUP(D837, Sheet2!$A:$C, 3, FALSE), 0)</f>
        <v>5999.9999999999991</v>
      </c>
      <c r="G837" s="6">
        <f t="shared" si="13"/>
        <v>2291999.9999999995</v>
      </c>
    </row>
    <row r="838" spans="1:7" ht="17.25" x14ac:dyDescent="0.3">
      <c r="A838" s="23" t="s">
        <v>254</v>
      </c>
      <c r="B838" s="22" t="s">
        <v>16</v>
      </c>
      <c r="C838" s="4" t="s">
        <v>216</v>
      </c>
      <c r="D838" s="4" t="s">
        <v>37</v>
      </c>
      <c r="E838" s="7">
        <v>825</v>
      </c>
      <c r="F838" s="5">
        <f>IFERROR(VLOOKUP(D838, Sheet2!$A:$C, 3, FALSE), 0)</f>
        <v>6799.9999999999991</v>
      </c>
      <c r="G838" s="6">
        <f t="shared" si="13"/>
        <v>5609999.9999999991</v>
      </c>
    </row>
    <row r="839" spans="1:7" ht="17.25" x14ac:dyDescent="0.3">
      <c r="A839" s="22" t="s">
        <v>254</v>
      </c>
      <c r="B839" s="22" t="s">
        <v>24</v>
      </c>
      <c r="C839" s="4" t="s">
        <v>344</v>
      </c>
      <c r="D839" s="4" t="s">
        <v>22</v>
      </c>
      <c r="E839" s="7">
        <v>79</v>
      </c>
      <c r="F839" s="5">
        <f>IFERROR(VLOOKUP(D839, Sheet2!$A:$C, 3, FALSE), 0)</f>
        <v>5999.9999999999991</v>
      </c>
      <c r="G839" s="6">
        <f t="shared" si="13"/>
        <v>473999.99999999994</v>
      </c>
    </row>
    <row r="840" spans="1:7" ht="17.25" x14ac:dyDescent="0.3">
      <c r="A840" s="22" t="s">
        <v>254</v>
      </c>
      <c r="B840" s="22" t="s">
        <v>95</v>
      </c>
      <c r="C840" s="4" t="s">
        <v>341</v>
      </c>
      <c r="D840" s="4" t="s">
        <v>110</v>
      </c>
      <c r="E840" s="7">
        <v>49</v>
      </c>
      <c r="F840" s="5">
        <f>IFERROR(VLOOKUP(D840, Sheet2!$A:$C, 3, FALSE), 0)</f>
        <v>2500</v>
      </c>
      <c r="G840" s="6">
        <f t="shared" si="13"/>
        <v>122500</v>
      </c>
    </row>
    <row r="841" spans="1:7" ht="17.25" x14ac:dyDescent="0.3">
      <c r="A841" s="22" t="s">
        <v>254</v>
      </c>
      <c r="B841" s="22" t="s">
        <v>95</v>
      </c>
      <c r="C841" s="4" t="s">
        <v>341</v>
      </c>
      <c r="D841" s="4" t="s">
        <v>17</v>
      </c>
      <c r="E841" s="7">
        <v>198</v>
      </c>
      <c r="F841" s="5">
        <f>IFERROR(VLOOKUP(D841, Sheet2!$A:$C, 3, FALSE), 0)</f>
        <v>11700</v>
      </c>
      <c r="G841" s="6">
        <f t="shared" si="13"/>
        <v>2316600</v>
      </c>
    </row>
    <row r="842" spans="1:7" ht="17.25" x14ac:dyDescent="0.3">
      <c r="A842" s="23" t="s">
        <v>254</v>
      </c>
      <c r="B842" s="22" t="s">
        <v>5</v>
      </c>
      <c r="C842" s="4" t="s">
        <v>215</v>
      </c>
      <c r="D842" s="4" t="s">
        <v>178</v>
      </c>
      <c r="E842" s="7">
        <v>889</v>
      </c>
      <c r="F842" s="5">
        <f>IFERROR(VLOOKUP(D842, Sheet2!$A:$C, 3, FALSE), 0)</f>
        <v>8545.4545454545441</v>
      </c>
      <c r="G842" s="6">
        <f t="shared" si="13"/>
        <v>7596909.0909090899</v>
      </c>
    </row>
    <row r="843" spans="1:7" ht="17.25" x14ac:dyDescent="0.3">
      <c r="A843" s="22" t="s">
        <v>254</v>
      </c>
      <c r="B843" s="22" t="s">
        <v>25</v>
      </c>
      <c r="C843" s="4" t="s">
        <v>337</v>
      </c>
      <c r="D843" s="4" t="s">
        <v>26</v>
      </c>
      <c r="E843" s="7">
        <v>229</v>
      </c>
      <c r="F843" s="5">
        <f>IFERROR(VLOOKUP(D843, Sheet2!$A:$C, 3, FALSE), 0)</f>
        <v>21000</v>
      </c>
      <c r="G843" s="6">
        <f t="shared" si="13"/>
        <v>4809000</v>
      </c>
    </row>
    <row r="844" spans="1:7" ht="17.25" x14ac:dyDescent="0.3">
      <c r="A844" s="23" t="s">
        <v>254</v>
      </c>
      <c r="B844" s="22" t="s">
        <v>43</v>
      </c>
      <c r="C844" s="4" t="s">
        <v>341</v>
      </c>
      <c r="D844" s="4" t="s">
        <v>17</v>
      </c>
      <c r="E844" s="7">
        <v>20</v>
      </c>
      <c r="F844" s="5">
        <f>IFERROR(VLOOKUP(D844, Sheet2!$A:$C, 3, FALSE), 0)</f>
        <v>11700</v>
      </c>
      <c r="G844" s="6">
        <f t="shared" si="13"/>
        <v>234000</v>
      </c>
    </row>
    <row r="845" spans="1:7" ht="17.25" x14ac:dyDescent="0.3">
      <c r="A845" s="23" t="s">
        <v>254</v>
      </c>
      <c r="B845" s="22" t="s">
        <v>43</v>
      </c>
      <c r="C845" s="4" t="s">
        <v>341</v>
      </c>
      <c r="D845" s="4" t="s">
        <v>110</v>
      </c>
      <c r="E845" s="7">
        <v>67</v>
      </c>
      <c r="F845" s="5">
        <f>IFERROR(VLOOKUP(D845, Sheet2!$A:$C, 3, FALSE), 0)</f>
        <v>2500</v>
      </c>
      <c r="G845" s="6">
        <f t="shared" si="13"/>
        <v>167500</v>
      </c>
    </row>
    <row r="846" spans="1:7" ht="17.25" x14ac:dyDescent="0.3">
      <c r="A846" s="22" t="s">
        <v>254</v>
      </c>
      <c r="B846" s="22" t="s">
        <v>11</v>
      </c>
      <c r="C846" s="4" t="s">
        <v>344</v>
      </c>
      <c r="D846" s="4" t="s">
        <v>120</v>
      </c>
      <c r="E846" s="7">
        <v>463</v>
      </c>
      <c r="F846" s="5">
        <f>IFERROR(VLOOKUP(D846, Sheet2!$A:$C, 3, FALSE), 0)</f>
        <v>6272.7272727272721</v>
      </c>
      <c r="G846" s="6">
        <f t="shared" si="13"/>
        <v>2904272.7272727271</v>
      </c>
    </row>
    <row r="847" spans="1:7" ht="17.25" x14ac:dyDescent="0.3">
      <c r="A847" s="23" t="s">
        <v>254</v>
      </c>
      <c r="B847" s="22" t="s">
        <v>23</v>
      </c>
      <c r="C847" s="4" t="s">
        <v>344</v>
      </c>
      <c r="D847" s="3" t="s">
        <v>22</v>
      </c>
      <c r="E847" s="7">
        <v>182</v>
      </c>
      <c r="F847" s="5">
        <f>IFERROR(VLOOKUP(D847, Sheet2!$A:$C, 3, FALSE), 0)</f>
        <v>5999.9999999999991</v>
      </c>
      <c r="G847" s="6">
        <f t="shared" si="13"/>
        <v>1091999.9999999998</v>
      </c>
    </row>
    <row r="848" spans="1:7" ht="17.25" x14ac:dyDescent="0.3">
      <c r="A848" s="23" t="s">
        <v>254</v>
      </c>
      <c r="B848" s="22" t="s">
        <v>23</v>
      </c>
      <c r="C848" s="4" t="s">
        <v>342</v>
      </c>
      <c r="D848" s="4" t="s">
        <v>61</v>
      </c>
      <c r="E848" s="7">
        <v>50</v>
      </c>
      <c r="F848" s="5">
        <f>IFERROR(VLOOKUP(D848, Sheet2!$A:$C, 3, FALSE), 0)</f>
        <v>7363.6363636363631</v>
      </c>
      <c r="G848" s="6">
        <f t="shared" si="13"/>
        <v>368181.81818181818</v>
      </c>
    </row>
    <row r="849" spans="1:7" ht="17.25" x14ac:dyDescent="0.3">
      <c r="A849" s="23" t="s">
        <v>254</v>
      </c>
      <c r="B849" s="22" t="s">
        <v>23</v>
      </c>
      <c r="C849" s="4" t="s">
        <v>342</v>
      </c>
      <c r="D849" s="4" t="s">
        <v>61</v>
      </c>
      <c r="E849" s="7">
        <v>56</v>
      </c>
      <c r="F849" s="5">
        <f>IFERROR(VLOOKUP(D849, Sheet2!$A:$C, 3, FALSE), 0)</f>
        <v>7363.6363636363631</v>
      </c>
      <c r="G849" s="6">
        <f t="shared" si="13"/>
        <v>412363.63636363635</v>
      </c>
    </row>
    <row r="850" spans="1:7" ht="17.25" x14ac:dyDescent="0.3">
      <c r="A850" s="23" t="s">
        <v>254</v>
      </c>
      <c r="B850" s="22" t="s">
        <v>23</v>
      </c>
      <c r="C850" s="4" t="s">
        <v>342</v>
      </c>
      <c r="D850" s="4" t="s">
        <v>61</v>
      </c>
      <c r="E850" s="7">
        <v>49</v>
      </c>
      <c r="F850" s="5">
        <f>IFERROR(VLOOKUP(D850, Sheet2!$A:$C, 3, FALSE), 0)</f>
        <v>7363.6363636363631</v>
      </c>
      <c r="G850" s="6">
        <f t="shared" si="13"/>
        <v>360818.18181818177</v>
      </c>
    </row>
    <row r="851" spans="1:7" ht="17.25" x14ac:dyDescent="0.3">
      <c r="A851" s="22" t="s">
        <v>254</v>
      </c>
      <c r="B851" s="22" t="s">
        <v>46</v>
      </c>
      <c r="C851" s="4" t="s">
        <v>342</v>
      </c>
      <c r="D851" s="4" t="s">
        <v>35</v>
      </c>
      <c r="E851" s="7">
        <v>170</v>
      </c>
      <c r="F851" s="5">
        <f>IFERROR(VLOOKUP(D851, Sheet2!$A:$C, 3, FALSE), 0)</f>
        <v>8363.6363636363621</v>
      </c>
      <c r="G851" s="6">
        <f t="shared" si="13"/>
        <v>1421818.1818181816</v>
      </c>
    </row>
    <row r="852" spans="1:7" ht="17.25" x14ac:dyDescent="0.3">
      <c r="A852" s="22" t="s">
        <v>254</v>
      </c>
      <c r="B852" s="22" t="s">
        <v>41</v>
      </c>
      <c r="C852" s="4" t="s">
        <v>337</v>
      </c>
      <c r="D852" s="4" t="s">
        <v>83</v>
      </c>
      <c r="E852" s="7">
        <v>645</v>
      </c>
      <c r="F852" s="5">
        <f>IFERROR(VLOOKUP(D852, Sheet2!$A:$C, 3, FALSE), 0)</f>
        <v>7636.363636363636</v>
      </c>
      <c r="G852" s="6">
        <f t="shared" si="13"/>
        <v>4925454.5454545449</v>
      </c>
    </row>
    <row r="853" spans="1:7" ht="17.25" x14ac:dyDescent="0.3">
      <c r="A853" s="23" t="s">
        <v>254</v>
      </c>
      <c r="B853" s="22" t="s">
        <v>69</v>
      </c>
      <c r="C853" s="4" t="s">
        <v>338</v>
      </c>
      <c r="D853" s="4" t="s">
        <v>36</v>
      </c>
      <c r="E853" s="7">
        <v>895</v>
      </c>
      <c r="F853" s="5">
        <f>IFERROR(VLOOKUP(D853, Sheet2!$A:$C, 3, FALSE), 0)</f>
        <v>7899.9999999999991</v>
      </c>
      <c r="G853" s="6">
        <f t="shared" si="13"/>
        <v>7070499.9999999991</v>
      </c>
    </row>
    <row r="854" spans="1:7" ht="17.25" x14ac:dyDescent="0.3">
      <c r="A854" s="22" t="s">
        <v>254</v>
      </c>
      <c r="B854" s="22" t="s">
        <v>33</v>
      </c>
      <c r="C854" s="4" t="s">
        <v>344</v>
      </c>
      <c r="D854" s="4" t="s">
        <v>44</v>
      </c>
      <c r="E854" s="7">
        <v>202</v>
      </c>
      <c r="F854" s="5">
        <f>IFERROR(VLOOKUP(D854, Sheet2!$A:$C, 3, FALSE), 0)</f>
        <v>5909.090909090909</v>
      </c>
      <c r="G854" s="6">
        <f t="shared" si="13"/>
        <v>1193636.3636363635</v>
      </c>
    </row>
    <row r="855" spans="1:7" ht="17.25" x14ac:dyDescent="0.3">
      <c r="A855" s="22" t="s">
        <v>254</v>
      </c>
      <c r="B855" s="22" t="s">
        <v>33</v>
      </c>
      <c r="C855" s="4" t="s">
        <v>341</v>
      </c>
      <c r="D855" s="4" t="s">
        <v>17</v>
      </c>
      <c r="E855" s="7">
        <v>26</v>
      </c>
      <c r="F855" s="5">
        <f>IFERROR(VLOOKUP(D855, Sheet2!$A:$C, 3, FALSE), 0)</f>
        <v>11700</v>
      </c>
      <c r="G855" s="6">
        <f t="shared" si="13"/>
        <v>304200</v>
      </c>
    </row>
    <row r="856" spans="1:7" ht="17.25" x14ac:dyDescent="0.3">
      <c r="A856" s="23" t="s">
        <v>255</v>
      </c>
      <c r="B856" s="22" t="s">
        <v>63</v>
      </c>
      <c r="C856" s="4" t="s">
        <v>344</v>
      </c>
      <c r="D856" s="4" t="s">
        <v>120</v>
      </c>
      <c r="E856" s="7">
        <v>281</v>
      </c>
      <c r="F856" s="5">
        <f>IFERROR(VLOOKUP(D856, Sheet2!$A:$C, 3, FALSE), 0)</f>
        <v>6272.7272727272721</v>
      </c>
      <c r="G856" s="6">
        <f t="shared" si="13"/>
        <v>1762636.3636363635</v>
      </c>
    </row>
    <row r="857" spans="1:7" ht="17.25" x14ac:dyDescent="0.3">
      <c r="A857" s="23" t="s">
        <v>255</v>
      </c>
      <c r="B857" s="22" t="s">
        <v>16</v>
      </c>
      <c r="C857" s="4" t="s">
        <v>344</v>
      </c>
      <c r="D857" s="4" t="s">
        <v>151</v>
      </c>
      <c r="E857" s="7">
        <v>8767</v>
      </c>
      <c r="F857" s="5">
        <f>IFERROR(VLOOKUP(D857, Sheet2!$A:$C, 3, FALSE), 0)</f>
        <v>727.27272727272725</v>
      </c>
      <c r="G857" s="6">
        <f t="shared" si="13"/>
        <v>6376000</v>
      </c>
    </row>
    <row r="858" spans="1:7" ht="17.25" x14ac:dyDescent="0.3">
      <c r="A858" s="22" t="s">
        <v>255</v>
      </c>
      <c r="B858" s="22" t="s">
        <v>95</v>
      </c>
      <c r="C858" s="4" t="s">
        <v>341</v>
      </c>
      <c r="D858" s="4" t="s">
        <v>110</v>
      </c>
      <c r="E858" s="7">
        <v>59</v>
      </c>
      <c r="F858" s="5">
        <f>IFERROR(VLOOKUP(D858, Sheet2!$A:$C, 3, FALSE), 0)</f>
        <v>2500</v>
      </c>
      <c r="G858" s="6">
        <f t="shared" si="13"/>
        <v>147500</v>
      </c>
    </row>
    <row r="859" spans="1:7" ht="17.25" x14ac:dyDescent="0.3">
      <c r="A859" s="22" t="s">
        <v>255</v>
      </c>
      <c r="B859" s="22" t="s">
        <v>95</v>
      </c>
      <c r="C859" s="4" t="s">
        <v>341</v>
      </c>
      <c r="D859" s="4" t="s">
        <v>17</v>
      </c>
      <c r="E859" s="7">
        <v>122</v>
      </c>
      <c r="F859" s="5">
        <f>IFERROR(VLOOKUP(D859, Sheet2!$A:$C, 3, FALSE), 0)</f>
        <v>11700</v>
      </c>
      <c r="G859" s="6">
        <f t="shared" si="13"/>
        <v>1427400</v>
      </c>
    </row>
    <row r="860" spans="1:7" ht="17.25" x14ac:dyDescent="0.3">
      <c r="A860" s="22" t="s">
        <v>255</v>
      </c>
      <c r="B860" s="22" t="s">
        <v>51</v>
      </c>
      <c r="C860" s="4" t="s">
        <v>337</v>
      </c>
      <c r="D860" s="4" t="s">
        <v>9</v>
      </c>
      <c r="E860" s="7">
        <v>1434</v>
      </c>
      <c r="F860" s="5">
        <f>IFERROR(VLOOKUP(D860, Sheet2!$A:$C, 3, FALSE), 0)</f>
        <v>18636.363636363636</v>
      </c>
      <c r="G860" s="6">
        <f t="shared" ref="G860:G923" si="14">E860*F860</f>
        <v>26724545.454545453</v>
      </c>
    </row>
    <row r="861" spans="1:7" ht="17.25" x14ac:dyDescent="0.3">
      <c r="A861" s="22" t="s">
        <v>255</v>
      </c>
      <c r="B861" s="22" t="s">
        <v>25</v>
      </c>
      <c r="C861" s="4" t="s">
        <v>344</v>
      </c>
      <c r="D861" s="4" t="s">
        <v>53</v>
      </c>
      <c r="E861" s="7">
        <v>861</v>
      </c>
      <c r="F861" s="5">
        <f>IFERROR(VLOOKUP(D861, Sheet2!$A:$C, 3, FALSE), 0)</f>
        <v>5818.181818181818</v>
      </c>
      <c r="G861" s="6">
        <f t="shared" si="14"/>
        <v>5009454.5454545449</v>
      </c>
    </row>
    <row r="862" spans="1:7" ht="17.25" x14ac:dyDescent="0.3">
      <c r="A862" s="22" t="s">
        <v>255</v>
      </c>
      <c r="B862" s="22" t="s">
        <v>93</v>
      </c>
      <c r="C862" s="4" t="s">
        <v>341</v>
      </c>
      <c r="D862" s="4" t="s">
        <v>110</v>
      </c>
      <c r="E862" s="7">
        <v>55</v>
      </c>
      <c r="F862" s="5">
        <f>IFERROR(VLOOKUP(D862, Sheet2!$A:$C, 3, FALSE), 0)</f>
        <v>2500</v>
      </c>
      <c r="G862" s="6">
        <f t="shared" si="14"/>
        <v>137500</v>
      </c>
    </row>
    <row r="863" spans="1:7" ht="17.25" x14ac:dyDescent="0.3">
      <c r="A863" s="22" t="s">
        <v>255</v>
      </c>
      <c r="B863" s="22" t="s">
        <v>93</v>
      </c>
      <c r="C863" s="4" t="s">
        <v>341</v>
      </c>
      <c r="D863" s="4" t="s">
        <v>17</v>
      </c>
      <c r="E863" s="7">
        <v>181</v>
      </c>
      <c r="F863" s="5">
        <f>IFERROR(VLOOKUP(D863, Sheet2!$A:$C, 3, FALSE), 0)</f>
        <v>11700</v>
      </c>
      <c r="G863" s="6">
        <f t="shared" si="14"/>
        <v>2117700</v>
      </c>
    </row>
    <row r="864" spans="1:7" ht="17.25" x14ac:dyDescent="0.3">
      <c r="A864" s="23" t="s">
        <v>255</v>
      </c>
      <c r="B864" s="22" t="s">
        <v>23</v>
      </c>
      <c r="C864" s="4" t="s">
        <v>342</v>
      </c>
      <c r="D864" s="4" t="s">
        <v>61</v>
      </c>
      <c r="E864" s="7">
        <v>51</v>
      </c>
      <c r="F864" s="5">
        <f>IFERROR(VLOOKUP(D864, Sheet2!$A:$C, 3, FALSE), 0)</f>
        <v>7363.6363636363631</v>
      </c>
      <c r="G864" s="6">
        <f t="shared" si="14"/>
        <v>375545.45454545453</v>
      </c>
    </row>
    <row r="865" spans="1:7" ht="17.25" x14ac:dyDescent="0.3">
      <c r="A865" s="23" t="s">
        <v>255</v>
      </c>
      <c r="B865" s="22" t="s">
        <v>69</v>
      </c>
      <c r="C865" s="4" t="s">
        <v>337</v>
      </c>
      <c r="D865" s="4" t="s">
        <v>55</v>
      </c>
      <c r="E865" s="7">
        <v>2100</v>
      </c>
      <c r="F865" s="5">
        <f>IFERROR(VLOOKUP(D865, Sheet2!$A:$C, 3, FALSE), 0)</f>
        <v>14899.999999999998</v>
      </c>
      <c r="G865" s="6">
        <f t="shared" si="14"/>
        <v>31289999.999999996</v>
      </c>
    </row>
    <row r="866" spans="1:7" ht="17.25" x14ac:dyDescent="0.3">
      <c r="A866" s="22" t="s">
        <v>255</v>
      </c>
      <c r="B866" s="22" t="s">
        <v>18</v>
      </c>
      <c r="C866" s="4" t="s">
        <v>215</v>
      </c>
      <c r="D866" s="4" t="s">
        <v>178</v>
      </c>
      <c r="E866" s="7">
        <v>703</v>
      </c>
      <c r="F866" s="5">
        <f>IFERROR(VLOOKUP(D866, Sheet2!$A:$C, 3, FALSE), 0)</f>
        <v>8545.4545454545441</v>
      </c>
      <c r="G866" s="6">
        <f t="shared" si="14"/>
        <v>6007454.5454545449</v>
      </c>
    </row>
    <row r="867" spans="1:7" ht="17.25" x14ac:dyDescent="0.3">
      <c r="A867" s="22" t="s">
        <v>256</v>
      </c>
      <c r="B867" s="22" t="s">
        <v>24</v>
      </c>
      <c r="C867" s="4" t="s">
        <v>342</v>
      </c>
      <c r="D867" s="4" t="s">
        <v>61</v>
      </c>
      <c r="E867" s="7">
        <v>65</v>
      </c>
      <c r="F867" s="5">
        <f>IFERROR(VLOOKUP(D867, Sheet2!$A:$C, 3, FALSE), 0)</f>
        <v>7363.6363636363631</v>
      </c>
      <c r="G867" s="6">
        <f t="shared" si="14"/>
        <v>478636.36363636359</v>
      </c>
    </row>
    <row r="868" spans="1:7" ht="17.25" x14ac:dyDescent="0.3">
      <c r="A868" s="22" t="s">
        <v>256</v>
      </c>
      <c r="B868" s="22" t="s">
        <v>21</v>
      </c>
      <c r="C868" s="4" t="s">
        <v>344</v>
      </c>
      <c r="D868" s="4" t="s">
        <v>44</v>
      </c>
      <c r="E868" s="7">
        <v>277</v>
      </c>
      <c r="F868" s="5">
        <f>IFERROR(VLOOKUP(D868, Sheet2!$A:$C, 3, FALSE), 0)</f>
        <v>5909.090909090909</v>
      </c>
      <c r="G868" s="6">
        <f t="shared" si="14"/>
        <v>1636818.1818181819</v>
      </c>
    </row>
    <row r="869" spans="1:7" ht="17.25" x14ac:dyDescent="0.3">
      <c r="A869" s="22" t="s">
        <v>256</v>
      </c>
      <c r="B869" s="22" t="s">
        <v>93</v>
      </c>
      <c r="C869" s="4" t="s">
        <v>341</v>
      </c>
      <c r="D869" s="4" t="s">
        <v>110</v>
      </c>
      <c r="E869" s="7">
        <v>50</v>
      </c>
      <c r="F869" s="5">
        <f>IFERROR(VLOOKUP(D869, Sheet2!$A:$C, 3, FALSE), 0)</f>
        <v>2500</v>
      </c>
      <c r="G869" s="6">
        <f t="shared" si="14"/>
        <v>125000</v>
      </c>
    </row>
    <row r="870" spans="1:7" ht="17.25" x14ac:dyDescent="0.3">
      <c r="A870" s="22" t="s">
        <v>256</v>
      </c>
      <c r="B870" s="22" t="s">
        <v>93</v>
      </c>
      <c r="C870" s="4" t="s">
        <v>341</v>
      </c>
      <c r="D870" s="4" t="s">
        <v>17</v>
      </c>
      <c r="E870" s="7">
        <v>85</v>
      </c>
      <c r="F870" s="5">
        <f>IFERROR(VLOOKUP(D870, Sheet2!$A:$C, 3, FALSE), 0)</f>
        <v>11700</v>
      </c>
      <c r="G870" s="6">
        <f t="shared" si="14"/>
        <v>994500</v>
      </c>
    </row>
    <row r="871" spans="1:7" ht="17.25" x14ac:dyDescent="0.3">
      <c r="A871" s="22" t="s">
        <v>257</v>
      </c>
      <c r="B871" s="22" t="s">
        <v>63</v>
      </c>
      <c r="C871" s="4" t="s">
        <v>342</v>
      </c>
      <c r="D871" s="4" t="s">
        <v>61</v>
      </c>
      <c r="E871" s="7">
        <v>42</v>
      </c>
      <c r="F871" s="5">
        <f>IFERROR(VLOOKUP(D871, Sheet2!$A:$C, 3, FALSE), 0)</f>
        <v>7363.6363636363631</v>
      </c>
      <c r="G871" s="6">
        <f t="shared" si="14"/>
        <v>309272.72727272724</v>
      </c>
    </row>
    <row r="872" spans="1:7" ht="17.25" x14ac:dyDescent="0.3">
      <c r="A872" s="22" t="s">
        <v>257</v>
      </c>
      <c r="B872" s="22" t="s">
        <v>63</v>
      </c>
      <c r="C872" s="4" t="s">
        <v>341</v>
      </c>
      <c r="D872" s="4" t="s">
        <v>17</v>
      </c>
      <c r="E872" s="7">
        <v>213</v>
      </c>
      <c r="F872" s="5">
        <f>IFERROR(VLOOKUP(D872, Sheet2!$A:$C, 3, FALSE), 0)</f>
        <v>11700</v>
      </c>
      <c r="G872" s="6">
        <f t="shared" si="14"/>
        <v>2492100</v>
      </c>
    </row>
    <row r="873" spans="1:7" ht="17.25" x14ac:dyDescent="0.3">
      <c r="A873" s="22" t="s">
        <v>257</v>
      </c>
      <c r="B873" s="22" t="s">
        <v>19</v>
      </c>
      <c r="C873" s="4" t="s">
        <v>344</v>
      </c>
      <c r="D873" s="4" t="s">
        <v>32</v>
      </c>
      <c r="E873" s="7">
        <v>631</v>
      </c>
      <c r="F873" s="5">
        <f>IFERROR(VLOOKUP(D873, Sheet2!$A:$C, 3, FALSE), 0)</f>
        <v>4363.6363636363631</v>
      </c>
      <c r="G873" s="6">
        <f t="shared" si="14"/>
        <v>2753454.5454545449</v>
      </c>
    </row>
    <row r="874" spans="1:7" ht="17.25" x14ac:dyDescent="0.3">
      <c r="A874" s="23" t="s">
        <v>257</v>
      </c>
      <c r="B874" s="22" t="s">
        <v>19</v>
      </c>
      <c r="C874" s="4" t="s">
        <v>344</v>
      </c>
      <c r="D874" s="3" t="s">
        <v>265</v>
      </c>
      <c r="E874" s="7">
        <v>506</v>
      </c>
      <c r="F874" s="5">
        <f>IFERROR(VLOOKUP(D874, Sheet2!$A:$C, 3, FALSE), 0)</f>
        <v>2818.181818181818</v>
      </c>
      <c r="G874" s="6">
        <f t="shared" si="14"/>
        <v>1426000</v>
      </c>
    </row>
    <row r="875" spans="1:7" ht="17.25" x14ac:dyDescent="0.3">
      <c r="A875" s="23" t="s">
        <v>257</v>
      </c>
      <c r="B875" s="22" t="s">
        <v>19</v>
      </c>
      <c r="C875" s="4" t="s">
        <v>344</v>
      </c>
      <c r="D875" s="4" t="s">
        <v>154</v>
      </c>
      <c r="E875" s="7">
        <v>553</v>
      </c>
      <c r="F875" s="5">
        <f>IFERROR(VLOOKUP(D875, Sheet2!$A:$C, 3, FALSE), 0)</f>
        <v>2999.9999999999995</v>
      </c>
      <c r="G875" s="6">
        <f t="shared" si="14"/>
        <v>1658999.9999999998</v>
      </c>
    </row>
    <row r="876" spans="1:7" ht="17.25" x14ac:dyDescent="0.3">
      <c r="A876" s="23" t="s">
        <v>257</v>
      </c>
      <c r="B876" s="22" t="s">
        <v>14</v>
      </c>
      <c r="C876" s="4" t="s">
        <v>344</v>
      </c>
      <c r="D876" s="4" t="s">
        <v>15</v>
      </c>
      <c r="E876" s="7">
        <v>395</v>
      </c>
      <c r="F876" s="5">
        <f>IFERROR(VLOOKUP(D876, Sheet2!$A:$C, 3, FALSE), 0)</f>
        <v>3863.6363636363635</v>
      </c>
      <c r="G876" s="6">
        <f t="shared" si="14"/>
        <v>1526136.3636363635</v>
      </c>
    </row>
    <row r="877" spans="1:7" ht="17.25" x14ac:dyDescent="0.3">
      <c r="A877" s="23" t="s">
        <v>257</v>
      </c>
      <c r="B877" s="22" t="s">
        <v>8</v>
      </c>
      <c r="C877" s="4" t="s">
        <v>337</v>
      </c>
      <c r="D877" s="4" t="s">
        <v>78</v>
      </c>
      <c r="E877" s="7">
        <v>503</v>
      </c>
      <c r="F877" s="5">
        <f>IFERROR(VLOOKUP(D877, Sheet2!$A:$C, 3, FALSE), 0)</f>
        <v>14999.999999999998</v>
      </c>
      <c r="G877" s="6">
        <f t="shared" si="14"/>
        <v>7544999.9999999991</v>
      </c>
    </row>
    <row r="878" spans="1:7" ht="17.25" x14ac:dyDescent="0.3">
      <c r="A878" s="22" t="s">
        <v>257</v>
      </c>
      <c r="B878" s="22" t="s">
        <v>8</v>
      </c>
      <c r="C878" s="4" t="s">
        <v>344</v>
      </c>
      <c r="D878" s="4" t="s">
        <v>22</v>
      </c>
      <c r="E878" s="7">
        <v>176</v>
      </c>
      <c r="F878" s="5">
        <f>IFERROR(VLOOKUP(D878, Sheet2!$A:$C, 3, FALSE), 0)</f>
        <v>5999.9999999999991</v>
      </c>
      <c r="G878" s="6">
        <f t="shared" si="14"/>
        <v>1055999.9999999998</v>
      </c>
    </row>
    <row r="879" spans="1:7" ht="17.25" x14ac:dyDescent="0.3">
      <c r="A879" s="22" t="s">
        <v>257</v>
      </c>
      <c r="B879" s="22" t="s">
        <v>95</v>
      </c>
      <c r="C879" s="4" t="s">
        <v>341</v>
      </c>
      <c r="D879" s="4" t="s">
        <v>110</v>
      </c>
      <c r="E879" s="7">
        <v>43</v>
      </c>
      <c r="F879" s="5">
        <f>IFERROR(VLOOKUP(D879, Sheet2!$A:$C, 3, FALSE), 0)</f>
        <v>2500</v>
      </c>
      <c r="G879" s="6">
        <f t="shared" si="14"/>
        <v>107500</v>
      </c>
    </row>
    <row r="880" spans="1:7" ht="17.25" x14ac:dyDescent="0.3">
      <c r="A880" s="22" t="s">
        <v>257</v>
      </c>
      <c r="B880" s="22" t="s">
        <v>95</v>
      </c>
      <c r="C880" s="4" t="s">
        <v>341</v>
      </c>
      <c r="D880" s="4" t="s">
        <v>17</v>
      </c>
      <c r="E880" s="7">
        <v>57</v>
      </c>
      <c r="F880" s="5">
        <f>IFERROR(VLOOKUP(D880, Sheet2!$A:$C, 3, FALSE), 0)</f>
        <v>11700</v>
      </c>
      <c r="G880" s="6">
        <f t="shared" si="14"/>
        <v>666900</v>
      </c>
    </row>
    <row r="881" spans="1:7" ht="17.25" x14ac:dyDescent="0.3">
      <c r="A881" s="22" t="s">
        <v>257</v>
      </c>
      <c r="B881" s="22" t="s">
        <v>51</v>
      </c>
      <c r="C881" s="4" t="s">
        <v>344</v>
      </c>
      <c r="D881" s="4" t="s">
        <v>53</v>
      </c>
      <c r="E881" s="7">
        <v>1116</v>
      </c>
      <c r="F881" s="5">
        <f>IFERROR(VLOOKUP(D881, Sheet2!$A:$C, 3, FALSE), 0)</f>
        <v>5818.181818181818</v>
      </c>
      <c r="G881" s="6">
        <f t="shared" si="14"/>
        <v>6493090.9090909092</v>
      </c>
    </row>
    <row r="882" spans="1:7" ht="17.25" x14ac:dyDescent="0.3">
      <c r="A882" s="23" t="s">
        <v>257</v>
      </c>
      <c r="B882" s="22" t="s">
        <v>25</v>
      </c>
      <c r="C882" s="4" t="s">
        <v>337</v>
      </c>
      <c r="D882" s="4" t="s">
        <v>70</v>
      </c>
      <c r="E882" s="7">
        <v>623</v>
      </c>
      <c r="F882" s="5">
        <f>IFERROR(VLOOKUP(D882, Sheet2!$A:$C, 3, FALSE), 0)</f>
        <v>18636.363636363636</v>
      </c>
      <c r="G882" s="6">
        <f t="shared" si="14"/>
        <v>11610454.545454545</v>
      </c>
    </row>
    <row r="883" spans="1:7" ht="17.25" x14ac:dyDescent="0.3">
      <c r="A883" s="22" t="s">
        <v>257</v>
      </c>
      <c r="B883" s="22" t="s">
        <v>11</v>
      </c>
      <c r="C883" s="4" t="s">
        <v>337</v>
      </c>
      <c r="D883" s="4" t="s">
        <v>9</v>
      </c>
      <c r="E883" s="7">
        <v>1700</v>
      </c>
      <c r="F883" s="5">
        <f>IFERROR(VLOOKUP(D883, Sheet2!$A:$C, 3, FALSE), 0)</f>
        <v>18636.363636363636</v>
      </c>
      <c r="G883" s="6">
        <f t="shared" si="14"/>
        <v>31681818.18181818</v>
      </c>
    </row>
    <row r="884" spans="1:7" ht="17.25" x14ac:dyDescent="0.3">
      <c r="A884" s="22" t="s">
        <v>257</v>
      </c>
      <c r="B884" s="22" t="s">
        <v>69</v>
      </c>
      <c r="C884" s="4" t="s">
        <v>342</v>
      </c>
      <c r="D884" s="4" t="s">
        <v>35</v>
      </c>
      <c r="E884" s="7">
        <v>359</v>
      </c>
      <c r="F884" s="5">
        <f>IFERROR(VLOOKUP(D884, Sheet2!$A:$C, 3, FALSE), 0)</f>
        <v>8363.6363636363621</v>
      </c>
      <c r="G884" s="6">
        <f t="shared" si="14"/>
        <v>3002545.4545454541</v>
      </c>
    </row>
    <row r="885" spans="1:7" ht="17.25" x14ac:dyDescent="0.3">
      <c r="A885" s="22" t="s">
        <v>257</v>
      </c>
      <c r="B885" s="22" t="s">
        <v>33</v>
      </c>
      <c r="C885" s="4" t="s">
        <v>342</v>
      </c>
      <c r="D885" s="4" t="s">
        <v>61</v>
      </c>
      <c r="E885" s="7">
        <v>69</v>
      </c>
      <c r="F885" s="5">
        <f>IFERROR(VLOOKUP(D885, Sheet2!$A:$C, 3, FALSE), 0)</f>
        <v>7363.6363636363631</v>
      </c>
      <c r="G885" s="6">
        <f t="shared" si="14"/>
        <v>508090.90909090906</v>
      </c>
    </row>
    <row r="886" spans="1:7" ht="17.25" x14ac:dyDescent="0.3">
      <c r="A886" s="22" t="s">
        <v>258</v>
      </c>
      <c r="B886" s="22" t="s">
        <v>75</v>
      </c>
      <c r="C886" s="4" t="s">
        <v>344</v>
      </c>
      <c r="D886" s="4" t="s">
        <v>162</v>
      </c>
      <c r="E886" s="7">
        <v>218</v>
      </c>
      <c r="F886" s="5">
        <f>IFERROR(VLOOKUP(D886, Sheet2!$A:$C, 3, FALSE), 0)</f>
        <v>6318.181818181818</v>
      </c>
      <c r="G886" s="6">
        <f t="shared" si="14"/>
        <v>1377363.6363636362</v>
      </c>
    </row>
    <row r="887" spans="1:7" ht="17.25" x14ac:dyDescent="0.3">
      <c r="A887" s="22" t="s">
        <v>258</v>
      </c>
      <c r="B887" s="22" t="s">
        <v>75</v>
      </c>
      <c r="C887" s="4" t="s">
        <v>215</v>
      </c>
      <c r="D887" s="4" t="s">
        <v>178</v>
      </c>
      <c r="E887" s="7">
        <v>644</v>
      </c>
      <c r="F887" s="5">
        <f>IFERROR(VLOOKUP(D887, Sheet2!$A:$C, 3, FALSE), 0)</f>
        <v>8545.4545454545441</v>
      </c>
      <c r="G887" s="6">
        <f t="shared" si="14"/>
        <v>5503272.7272727266</v>
      </c>
    </row>
    <row r="888" spans="1:7" ht="17.25" x14ac:dyDescent="0.3">
      <c r="A888" s="23" t="s">
        <v>258</v>
      </c>
      <c r="B888" s="22" t="s">
        <v>60</v>
      </c>
      <c r="C888" s="4" t="s">
        <v>344</v>
      </c>
      <c r="D888" s="4" t="s">
        <v>32</v>
      </c>
      <c r="E888" s="7">
        <v>458</v>
      </c>
      <c r="F888" s="5">
        <f>IFERROR(VLOOKUP(D888, Sheet2!$A:$C, 3, FALSE), 0)</f>
        <v>4363.6363636363631</v>
      </c>
      <c r="G888" s="6">
        <f t="shared" si="14"/>
        <v>1998545.4545454544</v>
      </c>
    </row>
    <row r="889" spans="1:7" ht="17.25" x14ac:dyDescent="0.3">
      <c r="A889" s="22" t="s">
        <v>258</v>
      </c>
      <c r="B889" s="22" t="s">
        <v>60</v>
      </c>
      <c r="C889" s="4" t="s">
        <v>337</v>
      </c>
      <c r="D889" s="4" t="s">
        <v>9</v>
      </c>
      <c r="E889" s="7">
        <v>445</v>
      </c>
      <c r="F889" s="5">
        <f>IFERROR(VLOOKUP(D889, Sheet2!$A:$C, 3, FALSE), 0)</f>
        <v>18636.363636363636</v>
      </c>
      <c r="G889" s="6">
        <f t="shared" si="14"/>
        <v>8293181.8181818184</v>
      </c>
    </row>
    <row r="890" spans="1:7" ht="17.25" x14ac:dyDescent="0.3">
      <c r="A890" s="22" t="s">
        <v>258</v>
      </c>
      <c r="B890" s="22" t="s">
        <v>60</v>
      </c>
      <c r="C890" s="4" t="s">
        <v>342</v>
      </c>
      <c r="D890" s="4" t="s">
        <v>61</v>
      </c>
      <c r="E890" s="7">
        <v>96</v>
      </c>
      <c r="F890" s="5">
        <f>IFERROR(VLOOKUP(D890, Sheet2!$A:$C, 3, FALSE), 0)</f>
        <v>7363.6363636363631</v>
      </c>
      <c r="G890" s="6">
        <f t="shared" si="14"/>
        <v>706909.09090909082</v>
      </c>
    </row>
    <row r="891" spans="1:7" ht="17.25" x14ac:dyDescent="0.3">
      <c r="A891" s="23" t="s">
        <v>258</v>
      </c>
      <c r="B891" s="22" t="s">
        <v>24</v>
      </c>
      <c r="C891" s="4" t="s">
        <v>338</v>
      </c>
      <c r="D891" s="4" t="s">
        <v>73</v>
      </c>
      <c r="E891" s="7">
        <v>251</v>
      </c>
      <c r="F891" s="5">
        <f>IFERROR(VLOOKUP(D891, Sheet2!$A:$C, 3, FALSE), 0)</f>
        <v>7899.9999999999991</v>
      </c>
      <c r="G891" s="6">
        <f t="shared" si="14"/>
        <v>1982899.9999999998</v>
      </c>
    </row>
    <row r="892" spans="1:7" ht="17.25" x14ac:dyDescent="0.3">
      <c r="A892" s="22" t="s">
        <v>258</v>
      </c>
      <c r="B892" s="22" t="s">
        <v>24</v>
      </c>
      <c r="C892" s="4" t="s">
        <v>344</v>
      </c>
      <c r="D892" s="4" t="s">
        <v>22</v>
      </c>
      <c r="E892" s="7">
        <v>148</v>
      </c>
      <c r="F892" s="5">
        <f>IFERROR(VLOOKUP(D892, Sheet2!$A:$C, 3, FALSE), 0)</f>
        <v>5999.9999999999991</v>
      </c>
      <c r="G892" s="6">
        <f t="shared" si="14"/>
        <v>887999.99999999988</v>
      </c>
    </row>
    <row r="893" spans="1:7" ht="17.25" x14ac:dyDescent="0.3">
      <c r="A893" s="23" t="s">
        <v>258</v>
      </c>
      <c r="B893" s="22" t="s">
        <v>8</v>
      </c>
      <c r="C893" s="4" t="s">
        <v>338</v>
      </c>
      <c r="D893" s="4" t="s">
        <v>36</v>
      </c>
      <c r="E893" s="7">
        <v>220</v>
      </c>
      <c r="F893" s="5">
        <f>IFERROR(VLOOKUP(D893, Sheet2!$A:$C, 3, FALSE), 0)</f>
        <v>7899.9999999999991</v>
      </c>
      <c r="G893" s="6">
        <f t="shared" si="14"/>
        <v>1737999.9999999998</v>
      </c>
    </row>
    <row r="894" spans="1:7" ht="17.25" x14ac:dyDescent="0.3">
      <c r="A894" s="22" t="s">
        <v>258</v>
      </c>
      <c r="B894" s="22" t="s">
        <v>21</v>
      </c>
      <c r="C894" s="4" t="s">
        <v>344</v>
      </c>
      <c r="D894" s="4" t="s">
        <v>22</v>
      </c>
      <c r="E894" s="7">
        <v>115</v>
      </c>
      <c r="F894" s="5">
        <f>IFERROR(VLOOKUP(D894, Sheet2!$A:$C, 3, FALSE), 0)</f>
        <v>5999.9999999999991</v>
      </c>
      <c r="G894" s="6">
        <f t="shared" si="14"/>
        <v>689999.99999999988</v>
      </c>
    </row>
    <row r="895" spans="1:7" ht="17.25" x14ac:dyDescent="0.3">
      <c r="A895" s="23" t="s">
        <v>258</v>
      </c>
      <c r="B895" s="22" t="s">
        <v>27</v>
      </c>
      <c r="C895" s="4" t="s">
        <v>344</v>
      </c>
      <c r="D895" s="4" t="s">
        <v>20</v>
      </c>
      <c r="E895" s="7">
        <v>269</v>
      </c>
      <c r="F895" s="5">
        <f>IFERROR(VLOOKUP(D895, Sheet2!$A:$C, 3, FALSE), 0)</f>
        <v>6999.9999999999991</v>
      </c>
      <c r="G895" s="6">
        <f t="shared" si="14"/>
        <v>1882999.9999999998</v>
      </c>
    </row>
    <row r="896" spans="1:7" ht="17.25" x14ac:dyDescent="0.3">
      <c r="A896" s="23" t="s">
        <v>258</v>
      </c>
      <c r="B896" s="22" t="s">
        <v>93</v>
      </c>
      <c r="C896" s="4" t="s">
        <v>341</v>
      </c>
      <c r="D896" s="4" t="s">
        <v>110</v>
      </c>
      <c r="E896" s="7">
        <v>64</v>
      </c>
      <c r="F896" s="5">
        <f>IFERROR(VLOOKUP(D896, Sheet2!$A:$C, 3, FALSE), 0)</f>
        <v>2500</v>
      </c>
      <c r="G896" s="6">
        <f t="shared" si="14"/>
        <v>160000</v>
      </c>
    </row>
    <row r="897" spans="1:7" ht="17.25" x14ac:dyDescent="0.3">
      <c r="A897" s="23" t="s">
        <v>258</v>
      </c>
      <c r="B897" s="22" t="s">
        <v>93</v>
      </c>
      <c r="C897" s="4" t="s">
        <v>341</v>
      </c>
      <c r="D897" s="4" t="s">
        <v>17</v>
      </c>
      <c r="E897" s="7">
        <v>316</v>
      </c>
      <c r="F897" s="5">
        <f>IFERROR(VLOOKUP(D897, Sheet2!$A:$C, 3, FALSE), 0)</f>
        <v>11700</v>
      </c>
      <c r="G897" s="6">
        <f t="shared" si="14"/>
        <v>3697200</v>
      </c>
    </row>
    <row r="898" spans="1:7" ht="17.25" x14ac:dyDescent="0.3">
      <c r="A898" s="23" t="s">
        <v>259</v>
      </c>
      <c r="B898" s="22" t="s">
        <v>75</v>
      </c>
      <c r="C898" s="4" t="s">
        <v>344</v>
      </c>
      <c r="D898" s="4" t="s">
        <v>22</v>
      </c>
      <c r="E898" s="7">
        <v>135</v>
      </c>
      <c r="F898" s="5">
        <f>IFERROR(VLOOKUP(D898, Sheet2!$A:$C, 3, FALSE), 0)</f>
        <v>5999.9999999999991</v>
      </c>
      <c r="G898" s="6">
        <f t="shared" si="14"/>
        <v>809999.99999999988</v>
      </c>
    </row>
    <row r="899" spans="1:7" ht="17.25" x14ac:dyDescent="0.3">
      <c r="A899" s="22" t="s">
        <v>259</v>
      </c>
      <c r="B899" s="22" t="s">
        <v>75</v>
      </c>
      <c r="C899" s="4" t="s">
        <v>342</v>
      </c>
      <c r="D899" s="4" t="s">
        <v>61</v>
      </c>
      <c r="E899" s="7">
        <v>108</v>
      </c>
      <c r="F899" s="5">
        <f>IFERROR(VLOOKUP(D899, Sheet2!$A:$C, 3, FALSE), 0)</f>
        <v>7363.6363636363631</v>
      </c>
      <c r="G899" s="6">
        <f t="shared" si="14"/>
        <v>795272.72727272718</v>
      </c>
    </row>
    <row r="900" spans="1:7" ht="17.25" x14ac:dyDescent="0.3">
      <c r="A900" s="22" t="s">
        <v>259</v>
      </c>
      <c r="B900" s="22" t="s">
        <v>95</v>
      </c>
      <c r="C900" s="4" t="s">
        <v>341</v>
      </c>
      <c r="D900" s="4" t="s">
        <v>110</v>
      </c>
      <c r="E900" s="7">
        <v>66</v>
      </c>
      <c r="F900" s="5">
        <f>IFERROR(VLOOKUP(D900, Sheet2!$A:$C, 3, FALSE), 0)</f>
        <v>2500</v>
      </c>
      <c r="G900" s="6">
        <f t="shared" si="14"/>
        <v>165000</v>
      </c>
    </row>
    <row r="901" spans="1:7" ht="17.25" x14ac:dyDescent="0.3">
      <c r="A901" s="22" t="s">
        <v>259</v>
      </c>
      <c r="B901" s="22" t="s">
        <v>95</v>
      </c>
      <c r="C901" s="4" t="s">
        <v>341</v>
      </c>
      <c r="D901" s="4" t="s">
        <v>17</v>
      </c>
      <c r="E901" s="7">
        <v>178</v>
      </c>
      <c r="F901" s="5">
        <f>IFERROR(VLOOKUP(D901, Sheet2!$A:$C, 3, FALSE), 0)</f>
        <v>11700</v>
      </c>
      <c r="G901" s="6">
        <f t="shared" si="14"/>
        <v>2082600</v>
      </c>
    </row>
    <row r="902" spans="1:7" ht="17.25" x14ac:dyDescent="0.3">
      <c r="A902" s="22" t="s">
        <v>259</v>
      </c>
      <c r="B902" s="22" t="s">
        <v>25</v>
      </c>
      <c r="C902" s="4" t="s">
        <v>337</v>
      </c>
      <c r="D902" s="4" t="s">
        <v>78</v>
      </c>
      <c r="E902" s="7">
        <v>1081</v>
      </c>
      <c r="F902" s="5">
        <f>IFERROR(VLOOKUP(D902, Sheet2!$A:$C, 3, FALSE), 0)</f>
        <v>14999.999999999998</v>
      </c>
      <c r="G902" s="6">
        <f t="shared" si="14"/>
        <v>16214999.999999998</v>
      </c>
    </row>
    <row r="903" spans="1:7" ht="17.25" x14ac:dyDescent="0.3">
      <c r="A903" s="23" t="s">
        <v>259</v>
      </c>
      <c r="B903" s="22" t="s">
        <v>150</v>
      </c>
      <c r="C903" s="4" t="s">
        <v>344</v>
      </c>
      <c r="D903" s="4" t="s">
        <v>156</v>
      </c>
      <c r="E903" s="7">
        <v>418</v>
      </c>
      <c r="F903" s="5">
        <f>IFERROR(VLOOKUP(D903, Sheet2!$A:$C, 3, FALSE), 0)</f>
        <v>3454.545454545454</v>
      </c>
      <c r="G903" s="6">
        <f t="shared" si="14"/>
        <v>1443999.9999999998</v>
      </c>
    </row>
    <row r="904" spans="1:7" ht="17.25" x14ac:dyDescent="0.3">
      <c r="A904" s="23" t="s">
        <v>259</v>
      </c>
      <c r="B904" s="22" t="s">
        <v>43</v>
      </c>
      <c r="C904" s="4" t="s">
        <v>341</v>
      </c>
      <c r="D904" s="4" t="s">
        <v>17</v>
      </c>
      <c r="E904" s="7">
        <v>67</v>
      </c>
      <c r="F904" s="5">
        <f>IFERROR(VLOOKUP(D904, Sheet2!$A:$C, 3, FALSE), 0)</f>
        <v>11700</v>
      </c>
      <c r="G904" s="6">
        <f t="shared" si="14"/>
        <v>783900</v>
      </c>
    </row>
    <row r="905" spans="1:7" ht="17.25" x14ac:dyDescent="0.3">
      <c r="A905" s="23" t="s">
        <v>259</v>
      </c>
      <c r="B905" s="22" t="s">
        <v>43</v>
      </c>
      <c r="C905" s="4" t="s">
        <v>341</v>
      </c>
      <c r="D905" s="4" t="s">
        <v>110</v>
      </c>
      <c r="E905" s="7">
        <v>85</v>
      </c>
      <c r="F905" s="5">
        <f>IFERROR(VLOOKUP(D905, Sheet2!$A:$C, 3, FALSE), 0)</f>
        <v>2500</v>
      </c>
      <c r="G905" s="6">
        <f t="shared" si="14"/>
        <v>212500</v>
      </c>
    </row>
    <row r="906" spans="1:7" ht="17.25" x14ac:dyDescent="0.3">
      <c r="A906" s="23" t="s">
        <v>259</v>
      </c>
      <c r="B906" s="22" t="s">
        <v>23</v>
      </c>
      <c r="C906" s="4" t="s">
        <v>342</v>
      </c>
      <c r="D906" s="4" t="s">
        <v>61</v>
      </c>
      <c r="E906" s="7">
        <v>75</v>
      </c>
      <c r="F906" s="5">
        <f>IFERROR(VLOOKUP(D906, Sheet2!$A:$C, 3, FALSE), 0)</f>
        <v>7363.6363636363631</v>
      </c>
      <c r="G906" s="6">
        <f t="shared" si="14"/>
        <v>552272.72727272718</v>
      </c>
    </row>
    <row r="907" spans="1:7" ht="17.25" x14ac:dyDescent="0.3">
      <c r="A907" s="23" t="s">
        <v>259</v>
      </c>
      <c r="B907" s="22" t="s">
        <v>23</v>
      </c>
      <c r="C907" s="4" t="s">
        <v>342</v>
      </c>
      <c r="D907" s="4" t="s">
        <v>61</v>
      </c>
      <c r="E907" s="7">
        <v>62</v>
      </c>
      <c r="F907" s="5">
        <f>IFERROR(VLOOKUP(D907, Sheet2!$A:$C, 3, FALSE), 0)</f>
        <v>7363.6363636363631</v>
      </c>
      <c r="G907" s="6">
        <f t="shared" si="14"/>
        <v>456545.45454545453</v>
      </c>
    </row>
    <row r="908" spans="1:7" ht="17.25" x14ac:dyDescent="0.3">
      <c r="A908" s="22" t="s">
        <v>259</v>
      </c>
      <c r="B908" s="22" t="s">
        <v>33</v>
      </c>
      <c r="C908" s="4" t="s">
        <v>344</v>
      </c>
      <c r="D908" s="4" t="s">
        <v>20</v>
      </c>
      <c r="E908" s="7">
        <v>257</v>
      </c>
      <c r="F908" s="5">
        <f>IFERROR(VLOOKUP(D908, Sheet2!$A:$C, 3, FALSE), 0)</f>
        <v>6999.9999999999991</v>
      </c>
      <c r="G908" s="6">
        <f t="shared" si="14"/>
        <v>1798999.9999999998</v>
      </c>
    </row>
    <row r="909" spans="1:7" ht="17.25" x14ac:dyDescent="0.3">
      <c r="A909" s="22" t="s">
        <v>259</v>
      </c>
      <c r="B909" s="22" t="s">
        <v>33</v>
      </c>
      <c r="C909" s="4" t="s">
        <v>341</v>
      </c>
      <c r="D909" s="4" t="s">
        <v>17</v>
      </c>
      <c r="E909" s="7">
        <v>203</v>
      </c>
      <c r="F909" s="5">
        <f>IFERROR(VLOOKUP(D909, Sheet2!$A:$C, 3, FALSE), 0)</f>
        <v>11700</v>
      </c>
      <c r="G909" s="6">
        <f t="shared" si="14"/>
        <v>2375100</v>
      </c>
    </row>
    <row r="910" spans="1:7" ht="17.25" x14ac:dyDescent="0.3">
      <c r="A910" s="22" t="s">
        <v>259</v>
      </c>
      <c r="B910" s="22" t="s">
        <v>29</v>
      </c>
      <c r="C910" s="4" t="s">
        <v>344</v>
      </c>
      <c r="D910" s="4" t="s">
        <v>20</v>
      </c>
      <c r="E910" s="7">
        <v>220</v>
      </c>
      <c r="F910" s="5">
        <f>IFERROR(VLOOKUP(D910, Sheet2!$A:$C, 3, FALSE), 0)</f>
        <v>6999.9999999999991</v>
      </c>
      <c r="G910" s="6">
        <f t="shared" si="14"/>
        <v>1539999.9999999998</v>
      </c>
    </row>
    <row r="911" spans="1:7" ht="17.25" x14ac:dyDescent="0.3">
      <c r="A911" s="22" t="s">
        <v>260</v>
      </c>
      <c r="B911" s="22" t="s">
        <v>11</v>
      </c>
      <c r="C911" s="4" t="s">
        <v>337</v>
      </c>
      <c r="D911" s="4" t="s">
        <v>26</v>
      </c>
      <c r="E911" s="7">
        <v>52</v>
      </c>
      <c r="F911" s="5">
        <f>IFERROR(VLOOKUP(D911, Sheet2!$A:$C, 3, FALSE), 0)</f>
        <v>21000</v>
      </c>
      <c r="G911" s="6">
        <f t="shared" si="14"/>
        <v>1092000</v>
      </c>
    </row>
    <row r="912" spans="1:7" ht="17.25" x14ac:dyDescent="0.3">
      <c r="A912" s="23" t="s">
        <v>260</v>
      </c>
      <c r="B912" s="22" t="s">
        <v>14</v>
      </c>
      <c r="C912" s="4" t="s">
        <v>344</v>
      </c>
      <c r="D912" s="4" t="s">
        <v>32</v>
      </c>
      <c r="E912" s="7">
        <v>288.00000000000006</v>
      </c>
      <c r="F912" s="5">
        <f>IFERROR(VLOOKUP(D912, Sheet2!$A:$C, 3, FALSE), 0)</f>
        <v>4363.6363636363631</v>
      </c>
      <c r="G912" s="6">
        <f t="shared" si="14"/>
        <v>1256727.2727272727</v>
      </c>
    </row>
    <row r="913" spans="1:7" ht="17.25" x14ac:dyDescent="0.3">
      <c r="A913" s="23" t="s">
        <v>260</v>
      </c>
      <c r="B913" s="22" t="s">
        <v>14</v>
      </c>
      <c r="C913" s="4" t="s">
        <v>343</v>
      </c>
      <c r="D913" s="4" t="s">
        <v>45</v>
      </c>
      <c r="E913" s="7">
        <v>962</v>
      </c>
      <c r="F913" s="5">
        <f>IFERROR(VLOOKUP(D913, Sheet2!$A:$C, 3, FALSE), 0)</f>
        <v>10909.090909090908</v>
      </c>
      <c r="G913" s="6">
        <f t="shared" si="14"/>
        <v>10494545.454545453</v>
      </c>
    </row>
    <row r="914" spans="1:7" ht="17.25" x14ac:dyDescent="0.3">
      <c r="A914" s="23" t="s">
        <v>260</v>
      </c>
      <c r="B914" s="22" t="s">
        <v>8</v>
      </c>
      <c r="C914" s="4" t="s">
        <v>342</v>
      </c>
      <c r="D914" s="4" t="s">
        <v>35</v>
      </c>
      <c r="E914" s="7">
        <v>96</v>
      </c>
      <c r="F914" s="5">
        <f>IFERROR(VLOOKUP(D914, Sheet2!$A:$C, 3, FALSE), 0)</f>
        <v>8363.6363636363621</v>
      </c>
      <c r="G914" s="6">
        <f t="shared" si="14"/>
        <v>802909.09090909082</v>
      </c>
    </row>
    <row r="915" spans="1:7" ht="17.25" x14ac:dyDescent="0.3">
      <c r="A915" s="23" t="s">
        <v>260</v>
      </c>
      <c r="B915" s="22" t="s">
        <v>95</v>
      </c>
      <c r="C915" s="4" t="s">
        <v>338</v>
      </c>
      <c r="D915" s="4" t="s">
        <v>36</v>
      </c>
      <c r="E915" s="7">
        <v>606</v>
      </c>
      <c r="F915" s="5">
        <f>IFERROR(VLOOKUP(D915, Sheet2!$A:$C, 3, FALSE), 0)</f>
        <v>7899.9999999999991</v>
      </c>
      <c r="G915" s="6">
        <f t="shared" si="14"/>
        <v>4787399.9999999991</v>
      </c>
    </row>
    <row r="916" spans="1:7" ht="17.25" x14ac:dyDescent="0.3">
      <c r="A916" s="23" t="s">
        <v>260</v>
      </c>
      <c r="B916" s="22" t="s">
        <v>27</v>
      </c>
      <c r="C916" s="4" t="s">
        <v>344</v>
      </c>
      <c r="D916" s="4" t="s">
        <v>40</v>
      </c>
      <c r="E916" s="7">
        <v>714</v>
      </c>
      <c r="F916" s="5">
        <f>IFERROR(VLOOKUP(D916, Sheet2!$A:$C, 3, FALSE), 0)</f>
        <v>4363.6363636363631</v>
      </c>
      <c r="G916" s="6">
        <f t="shared" si="14"/>
        <v>3115636.3636363633</v>
      </c>
    </row>
    <row r="917" spans="1:7" ht="17.25" x14ac:dyDescent="0.3">
      <c r="A917" s="22" t="s">
        <v>260</v>
      </c>
      <c r="B917" s="22" t="s">
        <v>150</v>
      </c>
      <c r="C917" s="4" t="s">
        <v>344</v>
      </c>
      <c r="D917" s="4" t="s">
        <v>59</v>
      </c>
      <c r="E917" s="7">
        <v>341</v>
      </c>
      <c r="F917" s="5">
        <f>IFERROR(VLOOKUP(D917, Sheet2!$A:$C, 3, FALSE), 0)</f>
        <v>4681.8181818181811</v>
      </c>
      <c r="G917" s="6">
        <f t="shared" si="14"/>
        <v>1596499.9999999998</v>
      </c>
    </row>
    <row r="918" spans="1:7" ht="17.25" x14ac:dyDescent="0.3">
      <c r="A918" s="23" t="s">
        <v>260</v>
      </c>
      <c r="B918" s="22" t="s">
        <v>11</v>
      </c>
      <c r="C918" s="4" t="s">
        <v>344</v>
      </c>
      <c r="D918" s="4" t="s">
        <v>120</v>
      </c>
      <c r="E918" s="7">
        <v>472</v>
      </c>
      <c r="F918" s="5">
        <f>IFERROR(VLOOKUP(D918, Sheet2!$A:$C, 3, FALSE), 0)</f>
        <v>6272.7272727272721</v>
      </c>
      <c r="G918" s="6">
        <f t="shared" si="14"/>
        <v>2960727.2727272725</v>
      </c>
    </row>
    <row r="919" spans="1:7" ht="17.25" x14ac:dyDescent="0.3">
      <c r="A919" s="23" t="s">
        <v>260</v>
      </c>
      <c r="B919" s="22" t="s">
        <v>23</v>
      </c>
      <c r="C919" s="4" t="s">
        <v>342</v>
      </c>
      <c r="D919" s="4" t="s">
        <v>61</v>
      </c>
      <c r="E919" s="7">
        <v>73</v>
      </c>
      <c r="F919" s="5">
        <f>IFERROR(VLOOKUP(D919, Sheet2!$A:$C, 3, FALSE), 0)</f>
        <v>7363.6363636363631</v>
      </c>
      <c r="G919" s="6">
        <f t="shared" si="14"/>
        <v>537545.45454545447</v>
      </c>
    </row>
    <row r="920" spans="1:7" ht="17.25" x14ac:dyDescent="0.3">
      <c r="A920" s="23" t="s">
        <v>260</v>
      </c>
      <c r="B920" s="22" t="s">
        <v>102</v>
      </c>
      <c r="C920" s="4" t="s">
        <v>338</v>
      </c>
      <c r="D920" s="4" t="s">
        <v>36</v>
      </c>
      <c r="E920" s="7">
        <v>160</v>
      </c>
      <c r="F920" s="5">
        <f>IFERROR(VLOOKUP(D920, Sheet2!$A:$C, 3, FALSE), 0)</f>
        <v>7899.9999999999991</v>
      </c>
      <c r="G920" s="6">
        <f t="shared" si="14"/>
        <v>1263999.9999999998</v>
      </c>
    </row>
    <row r="921" spans="1:7" ht="17.25" x14ac:dyDescent="0.3">
      <c r="A921" s="22" t="s">
        <v>260</v>
      </c>
      <c r="B921" s="22" t="s">
        <v>33</v>
      </c>
      <c r="C921" s="4" t="s">
        <v>341</v>
      </c>
      <c r="D921" s="4" t="s">
        <v>110</v>
      </c>
      <c r="E921" s="7">
        <v>126</v>
      </c>
      <c r="F921" s="5">
        <f>IFERROR(VLOOKUP(D921, Sheet2!$A:$C, 3, FALSE), 0)</f>
        <v>2500</v>
      </c>
      <c r="G921" s="6">
        <f t="shared" si="14"/>
        <v>315000</v>
      </c>
    </row>
    <row r="922" spans="1:7" ht="17.25" x14ac:dyDescent="0.3">
      <c r="A922" s="22" t="s">
        <v>260</v>
      </c>
      <c r="B922" s="22" t="s">
        <v>33</v>
      </c>
      <c r="C922" s="4" t="s">
        <v>341</v>
      </c>
      <c r="D922" s="4" t="s">
        <v>17</v>
      </c>
      <c r="E922" s="7">
        <v>38</v>
      </c>
      <c r="F922" s="5">
        <f>IFERROR(VLOOKUP(D922, Sheet2!$A:$C, 3, FALSE), 0)</f>
        <v>11700</v>
      </c>
      <c r="G922" s="6">
        <f t="shared" si="14"/>
        <v>444600</v>
      </c>
    </row>
    <row r="923" spans="1:7" ht="17.25" x14ac:dyDescent="0.3">
      <c r="A923" s="22" t="s">
        <v>260</v>
      </c>
      <c r="B923" s="22" t="s">
        <v>29</v>
      </c>
      <c r="C923" s="4" t="s">
        <v>344</v>
      </c>
      <c r="D923" s="4" t="s">
        <v>40</v>
      </c>
      <c r="E923" s="7">
        <v>531</v>
      </c>
      <c r="F923" s="5">
        <f>IFERROR(VLOOKUP(D923, Sheet2!$A:$C, 3, FALSE), 0)</f>
        <v>4363.6363636363631</v>
      </c>
      <c r="G923" s="6">
        <f t="shared" si="14"/>
        <v>2317090.9090909087</v>
      </c>
    </row>
    <row r="924" spans="1:7" ht="17.25" x14ac:dyDescent="0.3">
      <c r="A924" s="22" t="s">
        <v>260</v>
      </c>
      <c r="B924" s="22" t="s">
        <v>93</v>
      </c>
      <c r="C924" s="4" t="s">
        <v>338</v>
      </c>
      <c r="D924" s="4" t="s">
        <v>36</v>
      </c>
      <c r="E924" s="7">
        <v>1019</v>
      </c>
      <c r="F924" s="5">
        <f>IFERROR(VLOOKUP(D924, Sheet2!$A:$C, 3, FALSE), 0)</f>
        <v>7899.9999999999991</v>
      </c>
      <c r="G924" s="6">
        <f t="shared" ref="G924:G987" si="15">E924*F924</f>
        <v>8050099.9999999991</v>
      </c>
    </row>
    <row r="925" spans="1:7" ht="17.25" x14ac:dyDescent="0.3">
      <c r="A925" s="22" t="s">
        <v>261</v>
      </c>
      <c r="B925" s="22" t="s">
        <v>27</v>
      </c>
      <c r="C925" s="4" t="s">
        <v>344</v>
      </c>
      <c r="D925" s="4" t="s">
        <v>40</v>
      </c>
      <c r="E925" s="7">
        <v>568</v>
      </c>
      <c r="F925" s="5">
        <f>IFERROR(VLOOKUP(D925, Sheet2!$A:$C, 3, FALSE), 0)</f>
        <v>4363.6363636363631</v>
      </c>
      <c r="G925" s="6">
        <f t="shared" si="15"/>
        <v>2478545.4545454541</v>
      </c>
    </row>
    <row r="926" spans="1:7" ht="17.25" x14ac:dyDescent="0.3">
      <c r="A926" s="22" t="s">
        <v>261</v>
      </c>
      <c r="B926" s="22" t="s">
        <v>99</v>
      </c>
      <c r="C926" s="4" t="s">
        <v>338</v>
      </c>
      <c r="D926" s="4" t="s">
        <v>28</v>
      </c>
      <c r="E926" s="7">
        <v>318</v>
      </c>
      <c r="F926" s="5">
        <f>IFERROR(VLOOKUP(D926, Sheet2!$A:$C, 3, FALSE), 0)</f>
        <v>7899.9999999999991</v>
      </c>
      <c r="G926" s="6">
        <f t="shared" si="15"/>
        <v>2512199.9999999995</v>
      </c>
    </row>
    <row r="927" spans="1:7" ht="17.25" x14ac:dyDescent="0.3">
      <c r="A927" s="22" t="s">
        <v>261</v>
      </c>
      <c r="B927" s="22" t="s">
        <v>266</v>
      </c>
      <c r="C927" s="4" t="s">
        <v>339</v>
      </c>
      <c r="D927" s="4" t="s">
        <v>97</v>
      </c>
      <c r="E927" s="7">
        <v>108</v>
      </c>
      <c r="F927" s="5">
        <f>IFERROR(VLOOKUP(D927, Sheet2!$A:$C, 3, FALSE), 0)</f>
        <v>17181.81818181818</v>
      </c>
      <c r="G927" s="6">
        <f t="shared" si="15"/>
        <v>1855636.3636363635</v>
      </c>
    </row>
    <row r="928" spans="1:7" ht="17.25" x14ac:dyDescent="0.3">
      <c r="A928" s="23" t="s">
        <v>261</v>
      </c>
      <c r="B928" s="22" t="s">
        <v>24</v>
      </c>
      <c r="C928" s="4" t="s">
        <v>341</v>
      </c>
      <c r="D928" s="4" t="s">
        <v>110</v>
      </c>
      <c r="E928" s="7">
        <v>12</v>
      </c>
      <c r="F928" s="5">
        <f>IFERROR(VLOOKUP(D928, Sheet2!$A:$C, 3, FALSE), 0)</f>
        <v>2500</v>
      </c>
      <c r="G928" s="6">
        <f t="shared" si="15"/>
        <v>30000</v>
      </c>
    </row>
    <row r="929" spans="1:7" ht="17.25" x14ac:dyDescent="0.3">
      <c r="A929" s="23" t="s">
        <v>262</v>
      </c>
      <c r="B929" s="22" t="s">
        <v>63</v>
      </c>
      <c r="C929" s="4" t="s">
        <v>342</v>
      </c>
      <c r="D929" s="4" t="s">
        <v>61</v>
      </c>
      <c r="E929" s="7">
        <v>76</v>
      </c>
      <c r="F929" s="5">
        <f>IFERROR(VLOOKUP(D929, Sheet2!$A:$C, 3, FALSE), 0)</f>
        <v>7363.6363636363631</v>
      </c>
      <c r="G929" s="6">
        <f t="shared" si="15"/>
        <v>559636.36363636365</v>
      </c>
    </row>
    <row r="930" spans="1:7" ht="17.25" x14ac:dyDescent="0.3">
      <c r="A930" s="22" t="s">
        <v>262</v>
      </c>
      <c r="B930" s="22" t="s">
        <v>95</v>
      </c>
      <c r="C930" s="4" t="s">
        <v>341</v>
      </c>
      <c r="D930" s="4" t="s">
        <v>110</v>
      </c>
      <c r="E930" s="7">
        <v>60</v>
      </c>
      <c r="F930" s="5">
        <f>IFERROR(VLOOKUP(D930, Sheet2!$A:$C, 3, FALSE), 0)</f>
        <v>2500</v>
      </c>
      <c r="G930" s="6">
        <f t="shared" si="15"/>
        <v>150000</v>
      </c>
    </row>
    <row r="931" spans="1:7" ht="17.25" x14ac:dyDescent="0.3">
      <c r="A931" s="22" t="s">
        <v>262</v>
      </c>
      <c r="B931" s="22" t="s">
        <v>95</v>
      </c>
      <c r="C931" s="4" t="s">
        <v>341</v>
      </c>
      <c r="D931" s="4" t="s">
        <v>17</v>
      </c>
      <c r="E931" s="7">
        <v>60</v>
      </c>
      <c r="F931" s="5">
        <f>IFERROR(VLOOKUP(D931, Sheet2!$A:$C, 3, FALSE), 0)</f>
        <v>11700</v>
      </c>
      <c r="G931" s="6">
        <f t="shared" si="15"/>
        <v>702000</v>
      </c>
    </row>
    <row r="932" spans="1:7" ht="17.25" x14ac:dyDescent="0.3">
      <c r="A932" s="22" t="s">
        <v>262</v>
      </c>
      <c r="B932" s="22" t="s">
        <v>41</v>
      </c>
      <c r="C932" s="4" t="s">
        <v>344</v>
      </c>
      <c r="D932" s="4" t="s">
        <v>22</v>
      </c>
      <c r="E932" s="7">
        <v>284</v>
      </c>
      <c r="F932" s="5">
        <f>IFERROR(VLOOKUP(D932, Sheet2!$A:$C, 3, FALSE), 0)</f>
        <v>5999.9999999999991</v>
      </c>
      <c r="G932" s="6">
        <f t="shared" si="15"/>
        <v>1703999.9999999998</v>
      </c>
    </row>
    <row r="933" spans="1:7" ht="17.25" x14ac:dyDescent="0.3">
      <c r="A933" s="22" t="s">
        <v>262</v>
      </c>
      <c r="B933" s="22" t="s">
        <v>103</v>
      </c>
      <c r="C933" s="4" t="s">
        <v>338</v>
      </c>
      <c r="D933" s="4" t="s">
        <v>28</v>
      </c>
      <c r="E933" s="7">
        <v>700</v>
      </c>
      <c r="F933" s="5">
        <f>IFERROR(VLOOKUP(D933, Sheet2!$A:$C, 3, FALSE), 0)</f>
        <v>7899.9999999999991</v>
      </c>
      <c r="G933" s="6">
        <f t="shared" si="15"/>
        <v>5529999.9999999991</v>
      </c>
    </row>
    <row r="934" spans="1:7" ht="17.25" x14ac:dyDescent="0.3">
      <c r="A934" s="22" t="s">
        <v>262</v>
      </c>
      <c r="B934" s="22" t="s">
        <v>69</v>
      </c>
      <c r="C934" s="4" t="s">
        <v>344</v>
      </c>
      <c r="D934" s="4" t="s">
        <v>56</v>
      </c>
      <c r="E934" s="7">
        <v>559</v>
      </c>
      <c r="F934" s="5">
        <f>IFERROR(VLOOKUP(D934, Sheet2!$A:$C, 3, FALSE), 0)</f>
        <v>5545.454545454545</v>
      </c>
      <c r="G934" s="6">
        <f t="shared" si="15"/>
        <v>3099909.0909090908</v>
      </c>
    </row>
    <row r="935" spans="1:7" ht="17.25" x14ac:dyDescent="0.3">
      <c r="A935" s="22" t="s">
        <v>262</v>
      </c>
      <c r="B935" s="22" t="s">
        <v>33</v>
      </c>
      <c r="C935" s="4" t="s">
        <v>344</v>
      </c>
      <c r="D935" s="4" t="s">
        <v>44</v>
      </c>
      <c r="E935" s="7">
        <v>144</v>
      </c>
      <c r="F935" s="5">
        <f>IFERROR(VLOOKUP(D935, Sheet2!$A:$C, 3, FALSE), 0)</f>
        <v>5909.090909090909</v>
      </c>
      <c r="G935" s="6">
        <f t="shared" si="15"/>
        <v>850909.09090909094</v>
      </c>
    </row>
    <row r="936" spans="1:7" ht="17.25" x14ac:dyDescent="0.3">
      <c r="A936" s="22" t="s">
        <v>262</v>
      </c>
      <c r="B936" s="22" t="s">
        <v>11</v>
      </c>
      <c r="C936" s="4" t="s">
        <v>344</v>
      </c>
      <c r="D936" s="4" t="s">
        <v>120</v>
      </c>
      <c r="E936" s="7">
        <v>448</v>
      </c>
      <c r="F936" s="5">
        <f>IFERROR(VLOOKUP(D936, Sheet2!$A:$C, 3, FALSE), 0)</f>
        <v>6272.7272727272721</v>
      </c>
      <c r="G936" s="6">
        <f t="shared" si="15"/>
        <v>2810181.8181818179</v>
      </c>
    </row>
    <row r="937" spans="1:7" ht="17.25" x14ac:dyDescent="0.3">
      <c r="A937" s="22" t="s">
        <v>262</v>
      </c>
      <c r="B937" s="22" t="s">
        <v>102</v>
      </c>
      <c r="C937" s="4" t="s">
        <v>344</v>
      </c>
      <c r="D937" s="4" t="s">
        <v>39</v>
      </c>
      <c r="E937" s="7">
        <v>50</v>
      </c>
      <c r="F937" s="5">
        <f>IFERROR(VLOOKUP(D937, Sheet2!$A:$C, 3, FALSE), 0)</f>
        <v>3863.6363636363635</v>
      </c>
      <c r="G937" s="6">
        <f t="shared" si="15"/>
        <v>193181.81818181818</v>
      </c>
    </row>
    <row r="938" spans="1:7" ht="17.25" x14ac:dyDescent="0.3">
      <c r="A938" s="22" t="s">
        <v>262</v>
      </c>
      <c r="B938" s="22" t="s">
        <v>21</v>
      </c>
      <c r="C938" s="4" t="s">
        <v>344</v>
      </c>
      <c r="D938" s="4" t="s">
        <v>52</v>
      </c>
      <c r="E938" s="7">
        <v>48</v>
      </c>
      <c r="F938" s="5">
        <f>IFERROR(VLOOKUP(D938, Sheet2!$A:$C, 3, FALSE), 0)</f>
        <v>5999.9999999999991</v>
      </c>
      <c r="G938" s="6">
        <f t="shared" si="15"/>
        <v>287999.99999999994</v>
      </c>
    </row>
    <row r="939" spans="1:7" ht="17.25" x14ac:dyDescent="0.3">
      <c r="A939" s="22" t="s">
        <v>262</v>
      </c>
      <c r="B939" s="22" t="s">
        <v>31</v>
      </c>
      <c r="C939" s="4" t="s">
        <v>215</v>
      </c>
      <c r="D939" s="4" t="s">
        <v>179</v>
      </c>
      <c r="E939" s="7">
        <v>7975</v>
      </c>
      <c r="F939" s="5">
        <f>IFERROR(VLOOKUP(D939, Sheet2!$A:$C, 3, FALSE), 0)</f>
        <v>2136.363636363636</v>
      </c>
      <c r="G939" s="6">
        <f t="shared" si="15"/>
        <v>17037499.999999996</v>
      </c>
    </row>
    <row r="940" spans="1:7" ht="17.25" x14ac:dyDescent="0.3">
      <c r="A940" s="23" t="s">
        <v>262</v>
      </c>
      <c r="B940" s="22" t="s">
        <v>29</v>
      </c>
      <c r="C940" s="4" t="s">
        <v>344</v>
      </c>
      <c r="D940" s="9" t="s">
        <v>40</v>
      </c>
      <c r="E940" s="7">
        <v>481</v>
      </c>
      <c r="F940" s="5">
        <f>IFERROR(VLOOKUP(D940, Sheet2!$A:$C, 3, FALSE), 0)</f>
        <v>4363.6363636363631</v>
      </c>
      <c r="G940" s="6">
        <f t="shared" si="15"/>
        <v>2098909.0909090908</v>
      </c>
    </row>
    <row r="941" spans="1:7" ht="17.25" x14ac:dyDescent="0.3">
      <c r="A941" s="22" t="s">
        <v>262</v>
      </c>
      <c r="B941" s="22" t="s">
        <v>43</v>
      </c>
      <c r="C941" s="4" t="s">
        <v>344</v>
      </c>
      <c r="D941" s="4" t="s">
        <v>56</v>
      </c>
      <c r="E941" s="7">
        <v>101</v>
      </c>
      <c r="F941" s="5">
        <f>IFERROR(VLOOKUP(D941, Sheet2!$A:$C, 3, FALSE), 0)</f>
        <v>5545.454545454545</v>
      </c>
      <c r="G941" s="6">
        <f t="shared" si="15"/>
        <v>560090.90909090906</v>
      </c>
    </row>
    <row r="942" spans="1:7" ht="17.25" x14ac:dyDescent="0.3">
      <c r="A942" s="22" t="s">
        <v>262</v>
      </c>
      <c r="B942" s="22" t="s">
        <v>267</v>
      </c>
      <c r="C942" s="4" t="s">
        <v>339</v>
      </c>
      <c r="D942" s="9" t="s">
        <v>97</v>
      </c>
      <c r="E942" s="10">
        <v>204</v>
      </c>
      <c r="F942" s="5">
        <f>IFERROR(VLOOKUP(D942, Sheet2!$A:$C, 3, FALSE), 0)</f>
        <v>17181.81818181818</v>
      </c>
      <c r="G942" s="6">
        <f t="shared" si="15"/>
        <v>3505090.9090909087</v>
      </c>
    </row>
    <row r="943" spans="1:7" ht="17.25" x14ac:dyDescent="0.3">
      <c r="A943" s="22" t="s">
        <v>263</v>
      </c>
      <c r="B943" s="22" t="s">
        <v>8</v>
      </c>
      <c r="C943" s="4" t="s">
        <v>344</v>
      </c>
      <c r="D943" s="4" t="s">
        <v>22</v>
      </c>
      <c r="E943" s="7">
        <v>213</v>
      </c>
      <c r="F943" s="5">
        <f>IFERROR(VLOOKUP(D943, Sheet2!$A:$C, 3, FALSE), 0)</f>
        <v>5999.9999999999991</v>
      </c>
      <c r="G943" s="6">
        <f t="shared" si="15"/>
        <v>1277999.9999999998</v>
      </c>
    </row>
    <row r="944" spans="1:7" ht="17.25" x14ac:dyDescent="0.3">
      <c r="A944" s="22" t="s">
        <v>263</v>
      </c>
      <c r="B944" s="22" t="s">
        <v>93</v>
      </c>
      <c r="C944" s="4" t="s">
        <v>344</v>
      </c>
      <c r="D944" s="4" t="s">
        <v>39</v>
      </c>
      <c r="E944" s="7">
        <v>143</v>
      </c>
      <c r="F944" s="5">
        <f>IFERROR(VLOOKUP(D944, Sheet2!$A:$C, 3, FALSE), 0)</f>
        <v>3863.6363636363635</v>
      </c>
      <c r="G944" s="6">
        <f t="shared" si="15"/>
        <v>552500</v>
      </c>
    </row>
    <row r="945" spans="1:7" ht="17.25" x14ac:dyDescent="0.3">
      <c r="A945" s="22" t="s">
        <v>263</v>
      </c>
      <c r="B945" s="22" t="s">
        <v>150</v>
      </c>
      <c r="C945" s="4" t="s">
        <v>344</v>
      </c>
      <c r="D945" s="4" t="s">
        <v>53</v>
      </c>
      <c r="E945" s="7">
        <v>848</v>
      </c>
      <c r="F945" s="5">
        <f>IFERROR(VLOOKUP(D945, Sheet2!$A:$C, 3, FALSE), 0)</f>
        <v>5818.181818181818</v>
      </c>
      <c r="G945" s="6">
        <f t="shared" si="15"/>
        <v>4933818.1818181816</v>
      </c>
    </row>
    <row r="946" spans="1:7" ht="17.25" x14ac:dyDescent="0.3">
      <c r="A946" s="22" t="s">
        <v>263</v>
      </c>
      <c r="B946" s="22" t="s">
        <v>150</v>
      </c>
      <c r="C946" s="4" t="s">
        <v>344</v>
      </c>
      <c r="D946" s="4" t="s">
        <v>156</v>
      </c>
      <c r="E946" s="7">
        <v>212</v>
      </c>
      <c r="F946" s="5">
        <f>IFERROR(VLOOKUP(D946, Sheet2!$A:$C, 3, FALSE), 0)</f>
        <v>3454.545454545454</v>
      </c>
      <c r="G946" s="6">
        <f t="shared" si="15"/>
        <v>732363.63636363624</v>
      </c>
    </row>
    <row r="947" spans="1:7" ht="17.25" x14ac:dyDescent="0.3">
      <c r="A947" s="22" t="s">
        <v>263</v>
      </c>
      <c r="B947" s="22" t="s">
        <v>43</v>
      </c>
      <c r="C947" s="4" t="s">
        <v>337</v>
      </c>
      <c r="D947" s="9" t="s">
        <v>180</v>
      </c>
      <c r="E947" s="10">
        <v>309</v>
      </c>
      <c r="F947" s="5">
        <f>IFERROR(VLOOKUP(D947, Sheet2!$A:$C, 3, FALSE), 0)</f>
        <v>16909.090909090908</v>
      </c>
      <c r="G947" s="6">
        <f t="shared" si="15"/>
        <v>5224909.0909090908</v>
      </c>
    </row>
    <row r="948" spans="1:7" ht="17.25" x14ac:dyDescent="0.3">
      <c r="A948" s="22" t="s">
        <v>268</v>
      </c>
      <c r="B948" s="22" t="s">
        <v>24</v>
      </c>
      <c r="C948" s="4" t="s">
        <v>341</v>
      </c>
      <c r="D948" s="4" t="s">
        <v>17</v>
      </c>
      <c r="E948" s="7">
        <f>114/3</f>
        <v>38</v>
      </c>
      <c r="F948" s="5">
        <f>IFERROR(VLOOKUP(D948, Sheet2!$A:$C, 3, FALSE), 0)</f>
        <v>11700</v>
      </c>
      <c r="G948" s="6">
        <f t="shared" si="15"/>
        <v>444600</v>
      </c>
    </row>
    <row r="949" spans="1:7" ht="17.25" x14ac:dyDescent="0.3">
      <c r="A949" s="22" t="s">
        <v>268</v>
      </c>
      <c r="B949" s="22" t="s">
        <v>23</v>
      </c>
      <c r="C949" s="4" t="s">
        <v>342</v>
      </c>
      <c r="D949" s="4" t="s">
        <v>61</v>
      </c>
      <c r="E949" s="7">
        <v>41</v>
      </c>
      <c r="F949" s="5">
        <f>IFERROR(VLOOKUP(D949, Sheet2!$A:$C, 3, FALSE), 0)</f>
        <v>7363.6363636363631</v>
      </c>
      <c r="G949" s="6">
        <f t="shared" si="15"/>
        <v>301909.09090909088</v>
      </c>
    </row>
    <row r="950" spans="1:7" ht="17.25" x14ac:dyDescent="0.3">
      <c r="A950" s="22" t="s">
        <v>268</v>
      </c>
      <c r="B950" s="22" t="s">
        <v>23</v>
      </c>
      <c r="C950" s="4" t="s">
        <v>342</v>
      </c>
      <c r="D950" s="4" t="s">
        <v>61</v>
      </c>
      <c r="E950" s="7">
        <v>38</v>
      </c>
      <c r="F950" s="5">
        <f>IFERROR(VLOOKUP(D950, Sheet2!$A:$C, 3, FALSE), 0)</f>
        <v>7363.6363636363631</v>
      </c>
      <c r="G950" s="6">
        <f t="shared" si="15"/>
        <v>279818.18181818182</v>
      </c>
    </row>
    <row r="951" spans="1:7" ht="17.25" x14ac:dyDescent="0.3">
      <c r="A951" s="22" t="s">
        <v>268</v>
      </c>
      <c r="B951" s="22" t="s">
        <v>93</v>
      </c>
      <c r="C951" s="4" t="s">
        <v>341</v>
      </c>
      <c r="D951" s="4" t="s">
        <v>110</v>
      </c>
      <c r="E951" s="7">
        <v>108</v>
      </c>
      <c r="F951" s="5">
        <f>IFERROR(VLOOKUP(D951, Sheet2!$A:$C, 3, FALSE), 0)</f>
        <v>2500</v>
      </c>
      <c r="G951" s="6">
        <f t="shared" si="15"/>
        <v>270000</v>
      </c>
    </row>
    <row r="952" spans="1:7" ht="17.25" x14ac:dyDescent="0.3">
      <c r="A952" s="22" t="s">
        <v>268</v>
      </c>
      <c r="B952" s="22" t="s">
        <v>93</v>
      </c>
      <c r="C952" s="4" t="s">
        <v>341</v>
      </c>
      <c r="D952" s="4" t="s">
        <v>17</v>
      </c>
      <c r="E952" s="7">
        <v>343</v>
      </c>
      <c r="F952" s="5">
        <f>IFERROR(VLOOKUP(D952, Sheet2!$A:$C, 3, FALSE), 0)</f>
        <v>11700</v>
      </c>
      <c r="G952" s="6">
        <f t="shared" si="15"/>
        <v>4013100</v>
      </c>
    </row>
    <row r="953" spans="1:7" ht="17.25" x14ac:dyDescent="0.3">
      <c r="A953" s="22" t="s">
        <v>268</v>
      </c>
      <c r="B953" s="22" t="s">
        <v>23</v>
      </c>
      <c r="C953" s="4" t="s">
        <v>342</v>
      </c>
      <c r="D953" s="4" t="s">
        <v>61</v>
      </c>
      <c r="E953" s="7">
        <v>21</v>
      </c>
      <c r="F953" s="5">
        <f>IFERROR(VLOOKUP(D953, Sheet2!$A:$C, 3, FALSE), 0)</f>
        <v>7363.6363636363631</v>
      </c>
      <c r="G953" s="6">
        <f t="shared" si="15"/>
        <v>154636.36363636362</v>
      </c>
    </row>
    <row r="954" spans="1:7" ht="17.25" x14ac:dyDescent="0.3">
      <c r="A954" s="22" t="s">
        <v>268</v>
      </c>
      <c r="B954" s="22" t="s">
        <v>24</v>
      </c>
      <c r="C954" s="4" t="s">
        <v>341</v>
      </c>
      <c r="D954" s="4" t="s">
        <v>110</v>
      </c>
      <c r="E954" s="7">
        <f>10/0.5</f>
        <v>20</v>
      </c>
      <c r="F954" s="5">
        <f>IFERROR(VLOOKUP(D954, Sheet2!$A:$C, 3, FALSE), 0)</f>
        <v>2500</v>
      </c>
      <c r="G954" s="6">
        <f t="shared" si="15"/>
        <v>50000</v>
      </c>
    </row>
    <row r="955" spans="1:7" ht="17.25" x14ac:dyDescent="0.3">
      <c r="A955" s="22" t="s">
        <v>268</v>
      </c>
      <c r="B955" s="22" t="s">
        <v>24</v>
      </c>
      <c r="C955" s="4" t="s">
        <v>341</v>
      </c>
      <c r="D955" s="4" t="s">
        <v>17</v>
      </c>
      <c r="E955" s="7">
        <f>597/3</f>
        <v>199</v>
      </c>
      <c r="F955" s="5">
        <f>IFERROR(VLOOKUP(D955, Sheet2!$A:$C, 3, FALSE), 0)</f>
        <v>11700</v>
      </c>
      <c r="G955" s="6">
        <f t="shared" si="15"/>
        <v>2328300</v>
      </c>
    </row>
    <row r="956" spans="1:7" ht="17.25" x14ac:dyDescent="0.3">
      <c r="A956" s="22" t="s">
        <v>268</v>
      </c>
      <c r="B956" s="22" t="s">
        <v>23</v>
      </c>
      <c r="C956" s="4" t="s">
        <v>342</v>
      </c>
      <c r="D956" s="4" t="s">
        <v>61</v>
      </c>
      <c r="E956" s="7">
        <v>155</v>
      </c>
      <c r="F956" s="5">
        <f>IFERROR(VLOOKUP(D956, Sheet2!$A:$C, 3, FALSE), 0)</f>
        <v>7363.6363636363631</v>
      </c>
      <c r="G956" s="6">
        <f t="shared" si="15"/>
        <v>1141363.6363636362</v>
      </c>
    </row>
    <row r="957" spans="1:7" ht="17.25" x14ac:dyDescent="0.3">
      <c r="A957" s="22" t="s">
        <v>268</v>
      </c>
      <c r="B957" s="22" t="s">
        <v>23</v>
      </c>
      <c r="C957" s="4" t="s">
        <v>342</v>
      </c>
      <c r="D957" s="4" t="s">
        <v>61</v>
      </c>
      <c r="E957" s="7">
        <v>150</v>
      </c>
      <c r="F957" s="5">
        <f>IFERROR(VLOOKUP(D957, Sheet2!$A:$C, 3, FALSE), 0)</f>
        <v>7363.6363636363631</v>
      </c>
      <c r="G957" s="6">
        <f t="shared" si="15"/>
        <v>1104545.4545454544</v>
      </c>
    </row>
    <row r="958" spans="1:7" ht="17.25" x14ac:dyDescent="0.3">
      <c r="A958" s="22" t="s">
        <v>268</v>
      </c>
      <c r="B958" s="22" t="s">
        <v>27</v>
      </c>
      <c r="C958" s="4" t="s">
        <v>339</v>
      </c>
      <c r="D958" s="4" t="s">
        <v>97</v>
      </c>
      <c r="E958" s="7">
        <v>517</v>
      </c>
      <c r="F958" s="5">
        <f>IFERROR(VLOOKUP(D958, Sheet2!$A:$C, 3, FALSE), 0)</f>
        <v>17181.81818181818</v>
      </c>
      <c r="G958" s="6">
        <f t="shared" si="15"/>
        <v>8883000</v>
      </c>
    </row>
    <row r="959" spans="1:7" ht="17.25" x14ac:dyDescent="0.3">
      <c r="A959" s="22" t="s">
        <v>268</v>
      </c>
      <c r="B959" s="22" t="s">
        <v>63</v>
      </c>
      <c r="C959" s="4" t="s">
        <v>339</v>
      </c>
      <c r="D959" s="4" t="s">
        <v>125</v>
      </c>
      <c r="E959" s="7">
        <v>937</v>
      </c>
      <c r="F959" s="5">
        <f>IFERROR(VLOOKUP(D959, Sheet2!$A:$C, 3, FALSE), 0)</f>
        <v>18090.909090909088</v>
      </c>
      <c r="G959" s="6">
        <f t="shared" si="15"/>
        <v>16951181.818181816</v>
      </c>
    </row>
    <row r="960" spans="1:7" ht="17.25" x14ac:dyDescent="0.3">
      <c r="A960" s="22" t="s">
        <v>268</v>
      </c>
      <c r="B960" s="22" t="s">
        <v>43</v>
      </c>
      <c r="C960" s="4" t="s">
        <v>338</v>
      </c>
      <c r="D960" s="4" t="s">
        <v>36</v>
      </c>
      <c r="E960" s="7">
        <v>584</v>
      </c>
      <c r="F960" s="5">
        <f>IFERROR(VLOOKUP(D960, Sheet2!$A:$C, 3, FALSE), 0)</f>
        <v>7899.9999999999991</v>
      </c>
      <c r="G960" s="6">
        <f t="shared" si="15"/>
        <v>4613599.9999999991</v>
      </c>
    </row>
    <row r="961" spans="1:7" ht="17.25" x14ac:dyDescent="0.3">
      <c r="A961" s="22" t="s">
        <v>268</v>
      </c>
      <c r="B961" s="22" t="s">
        <v>8</v>
      </c>
      <c r="C961" s="4" t="s">
        <v>338</v>
      </c>
      <c r="D961" s="4" t="s">
        <v>36</v>
      </c>
      <c r="E961" s="7">
        <v>194</v>
      </c>
      <c r="F961" s="5">
        <f>IFERROR(VLOOKUP(D961, Sheet2!$A:$C, 3, FALSE), 0)</f>
        <v>7899.9999999999991</v>
      </c>
      <c r="G961" s="6">
        <f t="shared" si="15"/>
        <v>1532599.9999999998</v>
      </c>
    </row>
    <row r="962" spans="1:7" ht="17.25" x14ac:dyDescent="0.3">
      <c r="A962" s="22" t="s">
        <v>268</v>
      </c>
      <c r="B962" s="22" t="s">
        <v>33</v>
      </c>
      <c r="C962" s="4" t="s">
        <v>341</v>
      </c>
      <c r="D962" s="4" t="s">
        <v>110</v>
      </c>
      <c r="E962" s="10">
        <v>134</v>
      </c>
      <c r="F962" s="5">
        <f>IFERROR(VLOOKUP(D962, Sheet2!$A:$C, 3, FALSE), 0)</f>
        <v>2500</v>
      </c>
      <c r="G962" s="6">
        <f t="shared" si="15"/>
        <v>335000</v>
      </c>
    </row>
    <row r="963" spans="1:7" ht="17.25" x14ac:dyDescent="0.3">
      <c r="A963" s="22" t="s">
        <v>268</v>
      </c>
      <c r="B963" s="22" t="s">
        <v>60</v>
      </c>
      <c r="C963" s="4" t="s">
        <v>337</v>
      </c>
      <c r="D963" s="4" t="s">
        <v>127</v>
      </c>
      <c r="E963" s="7">
        <v>235</v>
      </c>
      <c r="F963" s="5">
        <f>IFERROR(VLOOKUP(D963, Sheet2!$A:$C, 3, FALSE), 0)</f>
        <v>45000</v>
      </c>
      <c r="G963" s="6">
        <f t="shared" si="15"/>
        <v>10575000</v>
      </c>
    </row>
    <row r="964" spans="1:7" ht="17.25" x14ac:dyDescent="0.3">
      <c r="A964" s="22" t="s">
        <v>268</v>
      </c>
      <c r="B964" s="22" t="s">
        <v>60</v>
      </c>
      <c r="C964" s="4" t="s">
        <v>342</v>
      </c>
      <c r="D964" s="4" t="s">
        <v>61</v>
      </c>
      <c r="E964" s="7">
        <v>89</v>
      </c>
      <c r="F964" s="5">
        <f>IFERROR(VLOOKUP(D964, Sheet2!$A:$C, 3, FALSE), 0)</f>
        <v>7363.6363636363631</v>
      </c>
      <c r="G964" s="6">
        <f t="shared" si="15"/>
        <v>655363.63636363635</v>
      </c>
    </row>
    <row r="965" spans="1:7" ht="17.25" x14ac:dyDescent="0.3">
      <c r="A965" s="22" t="s">
        <v>268</v>
      </c>
      <c r="B965" s="22" t="s">
        <v>21</v>
      </c>
      <c r="C965" s="4" t="s">
        <v>216</v>
      </c>
      <c r="D965" s="3" t="s">
        <v>84</v>
      </c>
      <c r="E965" s="7">
        <v>571</v>
      </c>
      <c r="F965" s="5">
        <f>IFERROR(VLOOKUP(D965, Sheet2!$A:$C, 3, FALSE), 0)</f>
        <v>2090.9090909090905</v>
      </c>
      <c r="G965" s="6">
        <f t="shared" si="15"/>
        <v>1193909.0909090906</v>
      </c>
    </row>
    <row r="966" spans="1:7" ht="17.25" x14ac:dyDescent="0.3">
      <c r="A966" s="22" t="s">
        <v>268</v>
      </c>
      <c r="B966" s="22" t="s">
        <v>21</v>
      </c>
      <c r="C966" s="4" t="s">
        <v>344</v>
      </c>
      <c r="D966" s="3" t="s">
        <v>22</v>
      </c>
      <c r="E966" s="7">
        <v>98</v>
      </c>
      <c r="F966" s="5">
        <f>IFERROR(VLOOKUP(D966, Sheet2!$A:$C, 3, FALSE), 0)</f>
        <v>5999.9999999999991</v>
      </c>
      <c r="G966" s="6">
        <f t="shared" si="15"/>
        <v>587999.99999999988</v>
      </c>
    </row>
    <row r="967" spans="1:7" ht="17.25" x14ac:dyDescent="0.3">
      <c r="A967" s="22" t="s">
        <v>268</v>
      </c>
      <c r="B967" s="22" t="s">
        <v>25</v>
      </c>
      <c r="C967" s="4" t="s">
        <v>215</v>
      </c>
      <c r="D967" s="3" t="s">
        <v>173</v>
      </c>
      <c r="E967" s="7">
        <v>786</v>
      </c>
      <c r="F967" s="5">
        <f>IFERROR(VLOOKUP(D967, Sheet2!$A:$C, 3, FALSE), 0)</f>
        <v>7181.8181818181811</v>
      </c>
      <c r="G967" s="6">
        <f t="shared" si="15"/>
        <v>5644909.0909090899</v>
      </c>
    </row>
    <row r="968" spans="1:7" ht="17.25" x14ac:dyDescent="0.3">
      <c r="A968" s="23" t="s">
        <v>268</v>
      </c>
      <c r="B968" s="22" t="s">
        <v>23</v>
      </c>
      <c r="C968" s="4" t="s">
        <v>342</v>
      </c>
      <c r="D968" s="3" t="s">
        <v>61</v>
      </c>
      <c r="E968" s="7">
        <v>142</v>
      </c>
      <c r="F968" s="5">
        <f>IFERROR(VLOOKUP(D968, Sheet2!$A:$C, 3, FALSE), 0)</f>
        <v>7363.6363636363631</v>
      </c>
      <c r="G968" s="6">
        <f t="shared" si="15"/>
        <v>1045636.3636363635</v>
      </c>
    </row>
    <row r="969" spans="1:7" ht="17.25" x14ac:dyDescent="0.3">
      <c r="A969" s="23" t="s">
        <v>268</v>
      </c>
      <c r="B969" s="22" t="s">
        <v>23</v>
      </c>
      <c r="C969" s="4" t="s">
        <v>344</v>
      </c>
      <c r="D969" s="3" t="s">
        <v>120</v>
      </c>
      <c r="E969" s="7">
        <v>58</v>
      </c>
      <c r="F969" s="5">
        <f>IFERROR(VLOOKUP(D969, Sheet2!$A:$C, 3, FALSE), 0)</f>
        <v>6272.7272727272721</v>
      </c>
      <c r="G969" s="6">
        <f t="shared" si="15"/>
        <v>363818.18181818177</v>
      </c>
    </row>
    <row r="970" spans="1:7" ht="17.25" x14ac:dyDescent="0.3">
      <c r="A970" s="23" t="s">
        <v>268</v>
      </c>
      <c r="B970" s="22" t="s">
        <v>23</v>
      </c>
      <c r="C970" s="4" t="s">
        <v>344</v>
      </c>
      <c r="D970" s="3" t="s">
        <v>120</v>
      </c>
      <c r="E970" s="7">
        <v>55</v>
      </c>
      <c r="F970" s="5">
        <f>IFERROR(VLOOKUP(D970, Sheet2!$A:$C, 3, FALSE), 0)</f>
        <v>6272.7272727272721</v>
      </c>
      <c r="G970" s="6">
        <f t="shared" si="15"/>
        <v>344999.99999999994</v>
      </c>
    </row>
    <row r="971" spans="1:7" ht="17.25" x14ac:dyDescent="0.3">
      <c r="A971" s="23" t="s">
        <v>268</v>
      </c>
      <c r="B971" s="22" t="s">
        <v>48</v>
      </c>
      <c r="C971" s="4" t="s">
        <v>343</v>
      </c>
      <c r="D971" s="3" t="s">
        <v>135</v>
      </c>
      <c r="E971" s="7">
        <v>1207</v>
      </c>
      <c r="F971" s="5">
        <f>IFERROR(VLOOKUP(D971, Sheet2!$A:$C, 3, FALSE), 0)</f>
        <v>13999.999999999998</v>
      </c>
      <c r="G971" s="6">
        <f t="shared" si="15"/>
        <v>16897999.999999996</v>
      </c>
    </row>
    <row r="972" spans="1:7" ht="17.25" x14ac:dyDescent="0.3">
      <c r="A972" s="23" t="s">
        <v>269</v>
      </c>
      <c r="B972" s="22" t="s">
        <v>103</v>
      </c>
      <c r="C972" s="4" t="s">
        <v>338</v>
      </c>
      <c r="D972" s="3" t="s">
        <v>28</v>
      </c>
      <c r="E972" s="7">
        <v>764</v>
      </c>
      <c r="F972" s="5">
        <f>IFERROR(VLOOKUP(D972, Sheet2!$A:$C, 3, FALSE), 0)</f>
        <v>7899.9999999999991</v>
      </c>
      <c r="G972" s="6">
        <f t="shared" si="15"/>
        <v>6035599.9999999991</v>
      </c>
    </row>
    <row r="973" spans="1:7" ht="17.25" x14ac:dyDescent="0.3">
      <c r="A973" s="22" t="s">
        <v>269</v>
      </c>
      <c r="B973" s="22" t="s">
        <v>21</v>
      </c>
      <c r="C973" s="4" t="s">
        <v>344</v>
      </c>
      <c r="D973" s="3" t="s">
        <v>44</v>
      </c>
      <c r="E973" s="7">
        <v>295</v>
      </c>
      <c r="F973" s="5">
        <f>IFERROR(VLOOKUP(D973, Sheet2!$A:$C, 3, FALSE), 0)</f>
        <v>5909.090909090909</v>
      </c>
      <c r="G973" s="6">
        <f t="shared" si="15"/>
        <v>1743181.8181818181</v>
      </c>
    </row>
    <row r="974" spans="1:7" ht="17.25" x14ac:dyDescent="0.3">
      <c r="A974" s="23" t="s">
        <v>269</v>
      </c>
      <c r="B974" s="22" t="s">
        <v>21</v>
      </c>
      <c r="C974" s="4" t="s">
        <v>344</v>
      </c>
      <c r="D974" s="3" t="s">
        <v>22</v>
      </c>
      <c r="E974" s="7">
        <v>119</v>
      </c>
      <c r="F974" s="5">
        <f>IFERROR(VLOOKUP(D974, Sheet2!$A:$C, 3, FALSE), 0)</f>
        <v>5999.9999999999991</v>
      </c>
      <c r="G974" s="6">
        <f t="shared" si="15"/>
        <v>713999.99999999988</v>
      </c>
    </row>
    <row r="975" spans="1:7" ht="17.25" x14ac:dyDescent="0.3">
      <c r="A975" s="22" t="s">
        <v>269</v>
      </c>
      <c r="B975" s="22" t="s">
        <v>31</v>
      </c>
      <c r="C975" s="4" t="s">
        <v>344</v>
      </c>
      <c r="D975" s="11" t="s">
        <v>139</v>
      </c>
      <c r="E975" s="7">
        <v>647</v>
      </c>
      <c r="F975" s="5">
        <f>IFERROR(VLOOKUP(D975, Sheet2!$A:$C, 3, FALSE), 0)</f>
        <v>4363.6363636363631</v>
      </c>
      <c r="G975" s="6">
        <f t="shared" si="15"/>
        <v>2823272.7272727271</v>
      </c>
    </row>
    <row r="976" spans="1:7" ht="17.25" x14ac:dyDescent="0.3">
      <c r="A976" s="22" t="s">
        <v>269</v>
      </c>
      <c r="B976" s="22" t="s">
        <v>24</v>
      </c>
      <c r="C976" s="4" t="s">
        <v>342</v>
      </c>
      <c r="D976" s="3" t="s">
        <v>35</v>
      </c>
      <c r="E976" s="7">
        <v>100</v>
      </c>
      <c r="F976" s="5">
        <f>IFERROR(VLOOKUP(D976, Sheet2!$A:$C, 3, FALSE), 0)</f>
        <v>8363.6363636363621</v>
      </c>
      <c r="G976" s="6">
        <f t="shared" si="15"/>
        <v>836363.63636363624</v>
      </c>
    </row>
    <row r="977" spans="1:7" ht="17.25" x14ac:dyDescent="0.3">
      <c r="A977" s="23" t="s">
        <v>269</v>
      </c>
      <c r="B977" s="22" t="s">
        <v>24</v>
      </c>
      <c r="C977" s="4" t="s">
        <v>341</v>
      </c>
      <c r="D977" s="4" t="s">
        <v>110</v>
      </c>
      <c r="E977" s="7">
        <v>17</v>
      </c>
      <c r="F977" s="5">
        <f>IFERROR(VLOOKUP(D977, Sheet2!$A:$C, 3, FALSE), 0)</f>
        <v>2500</v>
      </c>
      <c r="G977" s="6">
        <f t="shared" si="15"/>
        <v>42500</v>
      </c>
    </row>
    <row r="978" spans="1:7" ht="17.25" x14ac:dyDescent="0.3">
      <c r="A978" s="23" t="s">
        <v>269</v>
      </c>
      <c r="B978" s="22" t="s">
        <v>24</v>
      </c>
      <c r="C978" s="4" t="s">
        <v>344</v>
      </c>
      <c r="D978" s="3" t="s">
        <v>156</v>
      </c>
      <c r="E978" s="7">
        <v>75</v>
      </c>
      <c r="F978" s="5">
        <f>IFERROR(VLOOKUP(D978, Sheet2!$A:$C, 3, FALSE), 0)</f>
        <v>3454.545454545454</v>
      </c>
      <c r="G978" s="6">
        <f t="shared" si="15"/>
        <v>259090.90909090906</v>
      </c>
    </row>
    <row r="979" spans="1:7" ht="17.25" x14ac:dyDescent="0.3">
      <c r="A979" s="23" t="s">
        <v>269</v>
      </c>
      <c r="B979" s="22" t="s">
        <v>24</v>
      </c>
      <c r="C979" s="4" t="s">
        <v>344</v>
      </c>
      <c r="D979" s="3" t="s">
        <v>156</v>
      </c>
      <c r="E979" s="7">
        <v>88</v>
      </c>
      <c r="F979" s="5">
        <f>IFERROR(VLOOKUP(D979, Sheet2!$A:$C, 3, FALSE), 0)</f>
        <v>3454.545454545454</v>
      </c>
      <c r="G979" s="6">
        <f t="shared" si="15"/>
        <v>303999.99999999994</v>
      </c>
    </row>
    <row r="980" spans="1:7" ht="17.25" x14ac:dyDescent="0.3">
      <c r="A980" s="23" t="s">
        <v>269</v>
      </c>
      <c r="B980" s="22" t="s">
        <v>24</v>
      </c>
      <c r="C980" s="4" t="s">
        <v>341</v>
      </c>
      <c r="D980" s="4" t="s">
        <v>17</v>
      </c>
      <c r="E980" s="7">
        <v>35</v>
      </c>
      <c r="F980" s="5">
        <f>IFERROR(VLOOKUP(D980, Sheet2!$A:$C, 3, FALSE), 0)</f>
        <v>11700</v>
      </c>
      <c r="G980" s="6">
        <f t="shared" si="15"/>
        <v>409500</v>
      </c>
    </row>
    <row r="981" spans="1:7" ht="17.25" x14ac:dyDescent="0.3">
      <c r="A981" s="23" t="s">
        <v>269</v>
      </c>
      <c r="B981" s="22" t="s">
        <v>23</v>
      </c>
      <c r="C981" s="4" t="s">
        <v>344</v>
      </c>
      <c r="D981" s="3" t="s">
        <v>120</v>
      </c>
      <c r="E981" s="7">
        <v>35</v>
      </c>
      <c r="F981" s="5">
        <f>IFERROR(VLOOKUP(D981, Sheet2!$A:$C, 3, FALSE), 0)</f>
        <v>6272.7272727272721</v>
      </c>
      <c r="G981" s="6">
        <f t="shared" si="15"/>
        <v>219545.45454545453</v>
      </c>
    </row>
    <row r="982" spans="1:7" ht="17.25" x14ac:dyDescent="0.3">
      <c r="A982" s="23" t="s">
        <v>269</v>
      </c>
      <c r="B982" s="22" t="s">
        <v>23</v>
      </c>
      <c r="C982" s="4" t="s">
        <v>344</v>
      </c>
      <c r="D982" s="3" t="s">
        <v>120</v>
      </c>
      <c r="E982" s="7">
        <v>135</v>
      </c>
      <c r="F982" s="5">
        <f>IFERROR(VLOOKUP(D982, Sheet2!$A:$C, 3, FALSE), 0)</f>
        <v>6272.7272727272721</v>
      </c>
      <c r="G982" s="6">
        <f t="shared" si="15"/>
        <v>846818.18181818177</v>
      </c>
    </row>
    <row r="983" spans="1:7" ht="17.25" x14ac:dyDescent="0.3">
      <c r="A983" s="23" t="s">
        <v>269</v>
      </c>
      <c r="B983" s="22" t="s">
        <v>23</v>
      </c>
      <c r="C983" s="4" t="s">
        <v>344</v>
      </c>
      <c r="D983" s="3" t="s">
        <v>120</v>
      </c>
      <c r="E983" s="7">
        <v>130</v>
      </c>
      <c r="F983" s="5">
        <f>IFERROR(VLOOKUP(D983, Sheet2!$A:$C, 3, FALSE), 0)</f>
        <v>6272.7272727272721</v>
      </c>
      <c r="G983" s="6">
        <f t="shared" si="15"/>
        <v>815454.54545454541</v>
      </c>
    </row>
    <row r="984" spans="1:7" ht="17.25" x14ac:dyDescent="0.3">
      <c r="A984" s="23" t="s">
        <v>269</v>
      </c>
      <c r="B984" s="22" t="s">
        <v>48</v>
      </c>
      <c r="C984" s="4" t="s">
        <v>343</v>
      </c>
      <c r="D984" s="3" t="s">
        <v>135</v>
      </c>
      <c r="E984" s="7">
        <v>1040</v>
      </c>
      <c r="F984" s="5">
        <f>IFERROR(VLOOKUP(D984, Sheet2!$A:$C, 3, FALSE), 0)</f>
        <v>13999.999999999998</v>
      </c>
      <c r="G984" s="6">
        <f t="shared" si="15"/>
        <v>14559999.999999998</v>
      </c>
    </row>
    <row r="985" spans="1:7" ht="17.25" x14ac:dyDescent="0.3">
      <c r="A985" s="22" t="s">
        <v>269</v>
      </c>
      <c r="B985" s="22" t="s">
        <v>43</v>
      </c>
      <c r="C985" s="4" t="s">
        <v>344</v>
      </c>
      <c r="D985" s="3" t="s">
        <v>56</v>
      </c>
      <c r="E985" s="7">
        <v>203</v>
      </c>
      <c r="F985" s="5">
        <f>IFERROR(VLOOKUP(D985, Sheet2!$A:$C, 3, FALSE), 0)</f>
        <v>5545.454545454545</v>
      </c>
      <c r="G985" s="6">
        <f t="shared" si="15"/>
        <v>1125727.2727272727</v>
      </c>
    </row>
    <row r="986" spans="1:7" ht="17.25" x14ac:dyDescent="0.3">
      <c r="A986" s="23" t="s">
        <v>269</v>
      </c>
      <c r="B986" s="22" t="s">
        <v>14</v>
      </c>
      <c r="C986" s="4" t="s">
        <v>344</v>
      </c>
      <c r="D986" s="3" t="s">
        <v>32</v>
      </c>
      <c r="E986" s="7">
        <f>191.4/0.6</f>
        <v>319</v>
      </c>
      <c r="F986" s="5">
        <f>IFERROR(VLOOKUP(D986, Sheet2!$A:$C, 3, FALSE), 0)</f>
        <v>4363.6363636363631</v>
      </c>
      <c r="G986" s="6">
        <f t="shared" si="15"/>
        <v>1391999.9999999998</v>
      </c>
    </row>
    <row r="987" spans="1:7" ht="17.25" x14ac:dyDescent="0.3">
      <c r="A987" s="22" t="s">
        <v>269</v>
      </c>
      <c r="B987" s="22" t="s">
        <v>33</v>
      </c>
      <c r="C987" s="4" t="s">
        <v>341</v>
      </c>
      <c r="D987" s="4" t="s">
        <v>110</v>
      </c>
      <c r="E987" s="7">
        <v>78</v>
      </c>
      <c r="F987" s="5">
        <f>IFERROR(VLOOKUP(D987, Sheet2!$A:$C, 3, FALSE), 0)</f>
        <v>2500</v>
      </c>
      <c r="G987" s="6">
        <f t="shared" si="15"/>
        <v>195000</v>
      </c>
    </row>
    <row r="988" spans="1:7" ht="17.25" x14ac:dyDescent="0.3">
      <c r="A988" s="23" t="s">
        <v>269</v>
      </c>
      <c r="B988" s="22" t="s">
        <v>33</v>
      </c>
      <c r="C988" s="4" t="s">
        <v>341</v>
      </c>
      <c r="D988" s="4" t="s">
        <v>17</v>
      </c>
      <c r="E988" s="7">
        <v>26</v>
      </c>
      <c r="F988" s="5">
        <f>IFERROR(VLOOKUP(D988, Sheet2!$A:$C, 3, FALSE), 0)</f>
        <v>11700</v>
      </c>
      <c r="G988" s="6">
        <f t="shared" ref="G988:G1051" si="16">E988*F988</f>
        <v>304200</v>
      </c>
    </row>
    <row r="989" spans="1:7" ht="17.25" x14ac:dyDescent="0.3">
      <c r="A989" s="22" t="s">
        <v>269</v>
      </c>
      <c r="B989" s="22" t="s">
        <v>95</v>
      </c>
      <c r="C989" s="4" t="s">
        <v>342</v>
      </c>
      <c r="D989" s="3" t="s">
        <v>61</v>
      </c>
      <c r="E989" s="7">
        <v>236</v>
      </c>
      <c r="F989" s="5">
        <f>IFERROR(VLOOKUP(D989, Sheet2!$A:$C, 3, FALSE), 0)</f>
        <v>7363.6363636363631</v>
      </c>
      <c r="G989" s="6">
        <f t="shared" si="16"/>
        <v>1737818.1818181816</v>
      </c>
    </row>
    <row r="990" spans="1:7" ht="17.25" x14ac:dyDescent="0.3">
      <c r="A990" s="22" t="s">
        <v>269</v>
      </c>
      <c r="B990" s="22" t="s">
        <v>51</v>
      </c>
      <c r="C990" s="4" t="s">
        <v>344</v>
      </c>
      <c r="D990" s="3" t="s">
        <v>53</v>
      </c>
      <c r="E990" s="7">
        <v>1204</v>
      </c>
      <c r="F990" s="5">
        <f>IFERROR(VLOOKUP(D990, Sheet2!$A:$C, 3, FALSE), 0)</f>
        <v>5818.181818181818</v>
      </c>
      <c r="G990" s="6">
        <f t="shared" si="16"/>
        <v>7005090.9090909092</v>
      </c>
    </row>
    <row r="991" spans="1:7" ht="17.25" x14ac:dyDescent="0.3">
      <c r="A991" s="22" t="s">
        <v>270</v>
      </c>
      <c r="B991" s="22" t="s">
        <v>93</v>
      </c>
      <c r="C991" s="4" t="s">
        <v>344</v>
      </c>
      <c r="D991" s="3" t="s">
        <v>39</v>
      </c>
      <c r="E991" s="7">
        <v>371</v>
      </c>
      <c r="F991" s="5">
        <f>IFERROR(VLOOKUP(D991, Sheet2!$A:$C, 3, FALSE), 0)</f>
        <v>3863.6363636363635</v>
      </c>
      <c r="G991" s="6">
        <f t="shared" si="16"/>
        <v>1433409.0909090908</v>
      </c>
    </row>
    <row r="992" spans="1:7" ht="17.25" x14ac:dyDescent="0.3">
      <c r="A992" s="23" t="s">
        <v>270</v>
      </c>
      <c r="B992" s="22" t="s">
        <v>21</v>
      </c>
      <c r="C992" s="4" t="s">
        <v>339</v>
      </c>
      <c r="D992" s="3" t="s">
        <v>76</v>
      </c>
      <c r="E992" s="7">
        <v>600</v>
      </c>
      <c r="F992" s="5">
        <f>IFERROR(VLOOKUP(D992, Sheet2!$A:$C, 3, FALSE), 0)</f>
        <v>8636.363636363636</v>
      </c>
      <c r="G992" s="6">
        <f t="shared" si="16"/>
        <v>5181818.1818181816</v>
      </c>
    </row>
    <row r="993" spans="1:7" ht="17.25" x14ac:dyDescent="0.3">
      <c r="A993" s="23" t="s">
        <v>270</v>
      </c>
      <c r="B993" s="22" t="s">
        <v>46</v>
      </c>
      <c r="C993" s="4" t="s">
        <v>343</v>
      </c>
      <c r="D993" s="3" t="s">
        <v>135</v>
      </c>
      <c r="E993" s="7">
        <v>1455</v>
      </c>
      <c r="F993" s="5">
        <f>IFERROR(VLOOKUP(D993, Sheet2!$A:$C, 3, FALSE), 0)</f>
        <v>13999.999999999998</v>
      </c>
      <c r="G993" s="6">
        <f t="shared" si="16"/>
        <v>20369999.999999996</v>
      </c>
    </row>
    <row r="994" spans="1:7" ht="17.25" x14ac:dyDescent="0.3">
      <c r="A994" s="22" t="s">
        <v>270</v>
      </c>
      <c r="B994" s="22" t="s">
        <v>46</v>
      </c>
      <c r="C994" s="4" t="s">
        <v>337</v>
      </c>
      <c r="D994" s="3" t="s">
        <v>55</v>
      </c>
      <c r="E994" s="7">
        <v>1113</v>
      </c>
      <c r="F994" s="5">
        <f>IFERROR(VLOOKUP(D994, Sheet2!$A:$C, 3, FALSE), 0)</f>
        <v>14899.999999999998</v>
      </c>
      <c r="G994" s="6">
        <f t="shared" si="16"/>
        <v>16583699.999999998</v>
      </c>
    </row>
    <row r="995" spans="1:7" ht="17.25" x14ac:dyDescent="0.3">
      <c r="A995" s="22" t="s">
        <v>270</v>
      </c>
      <c r="B995" s="22" t="s">
        <v>69</v>
      </c>
      <c r="C995" s="4" t="s">
        <v>337</v>
      </c>
      <c r="D995" s="3" t="s">
        <v>55</v>
      </c>
      <c r="E995" s="7">
        <v>1799</v>
      </c>
      <c r="F995" s="5">
        <f>IFERROR(VLOOKUP(D995, Sheet2!$A:$C, 3, FALSE), 0)</f>
        <v>14899.999999999998</v>
      </c>
      <c r="G995" s="6">
        <f t="shared" si="16"/>
        <v>26805099.999999996</v>
      </c>
    </row>
    <row r="996" spans="1:7" ht="17.25" x14ac:dyDescent="0.3">
      <c r="A996" s="22" t="s">
        <v>270</v>
      </c>
      <c r="B996" s="22" t="s">
        <v>25</v>
      </c>
      <c r="C996" s="4" t="s">
        <v>337</v>
      </c>
      <c r="D996" s="3" t="s">
        <v>78</v>
      </c>
      <c r="E996" s="7">
        <v>1325</v>
      </c>
      <c r="F996" s="5">
        <f>IFERROR(VLOOKUP(D996, Sheet2!$A:$C, 3, FALSE), 0)</f>
        <v>14999.999999999998</v>
      </c>
      <c r="G996" s="6">
        <f t="shared" si="16"/>
        <v>19874999.999999996</v>
      </c>
    </row>
    <row r="997" spans="1:7" ht="17.25" x14ac:dyDescent="0.3">
      <c r="A997" s="23" t="s">
        <v>270</v>
      </c>
      <c r="B997" s="22" t="s">
        <v>99</v>
      </c>
      <c r="C997" s="4" t="s">
        <v>342</v>
      </c>
      <c r="D997" s="3" t="s">
        <v>35</v>
      </c>
      <c r="E997" s="7">
        <v>194</v>
      </c>
      <c r="F997" s="5">
        <f>IFERROR(VLOOKUP(D997, Sheet2!$A:$C, 3, FALSE), 0)</f>
        <v>8363.6363636363621</v>
      </c>
      <c r="G997" s="6">
        <f t="shared" si="16"/>
        <v>1622545.4545454544</v>
      </c>
    </row>
    <row r="998" spans="1:7" ht="17.25" x14ac:dyDescent="0.3">
      <c r="A998" s="22" t="s">
        <v>270</v>
      </c>
      <c r="B998" s="22" t="s">
        <v>150</v>
      </c>
      <c r="C998" s="4" t="s">
        <v>344</v>
      </c>
      <c r="D998" s="3" t="s">
        <v>156</v>
      </c>
      <c r="E998" s="7">
        <v>402</v>
      </c>
      <c r="F998" s="5">
        <f>IFERROR(VLOOKUP(D998, Sheet2!$A:$C, 3, FALSE), 0)</f>
        <v>3454.545454545454</v>
      </c>
      <c r="G998" s="6">
        <f t="shared" si="16"/>
        <v>1388727.2727272725</v>
      </c>
    </row>
    <row r="999" spans="1:7" ht="17.25" x14ac:dyDescent="0.3">
      <c r="A999" s="23" t="s">
        <v>270</v>
      </c>
      <c r="B999" s="22" t="s">
        <v>23</v>
      </c>
      <c r="C999" s="4" t="s">
        <v>344</v>
      </c>
      <c r="D999" s="3" t="s">
        <v>120</v>
      </c>
      <c r="E999" s="7">
        <v>125</v>
      </c>
      <c r="F999" s="5">
        <f>IFERROR(VLOOKUP(D999, Sheet2!$A:$C, 3, FALSE), 0)</f>
        <v>6272.7272727272721</v>
      </c>
      <c r="G999" s="6">
        <f t="shared" si="16"/>
        <v>784090.90909090906</v>
      </c>
    </row>
    <row r="1000" spans="1:7" ht="17.25" x14ac:dyDescent="0.3">
      <c r="A1000" s="22" t="s">
        <v>270</v>
      </c>
      <c r="B1000" s="22" t="s">
        <v>102</v>
      </c>
      <c r="C1000" s="4" t="s">
        <v>344</v>
      </c>
      <c r="D1000" s="11" t="s">
        <v>39</v>
      </c>
      <c r="E1000" s="7">
        <v>107</v>
      </c>
      <c r="F1000" s="5">
        <f>IFERROR(VLOOKUP(D1000, Sheet2!$A:$C, 3, FALSE), 0)</f>
        <v>3863.6363636363635</v>
      </c>
      <c r="G1000" s="6">
        <f t="shared" si="16"/>
        <v>413409.09090909088</v>
      </c>
    </row>
    <row r="1001" spans="1:7" ht="17.25" x14ac:dyDescent="0.3">
      <c r="A1001" s="23" t="s">
        <v>270</v>
      </c>
      <c r="B1001" s="22" t="s">
        <v>29</v>
      </c>
      <c r="C1001" s="4" t="s">
        <v>215</v>
      </c>
      <c r="D1001" s="11" t="s">
        <v>264</v>
      </c>
      <c r="E1001" s="7">
        <v>636</v>
      </c>
      <c r="F1001" s="5">
        <f>IFERROR(VLOOKUP(D1001, Sheet2!$A:$C, 3, FALSE), 0)</f>
        <v>4454.545454545454</v>
      </c>
      <c r="G1001" s="6">
        <f t="shared" si="16"/>
        <v>2833090.9090909087</v>
      </c>
    </row>
    <row r="1002" spans="1:7" ht="17.25" x14ac:dyDescent="0.3">
      <c r="A1002" s="22" t="s">
        <v>270</v>
      </c>
      <c r="B1002" s="22" t="s">
        <v>16</v>
      </c>
      <c r="C1002" s="4" t="s">
        <v>338</v>
      </c>
      <c r="D1002" s="3" t="s">
        <v>36</v>
      </c>
      <c r="E1002" s="7">
        <v>1009</v>
      </c>
      <c r="F1002" s="5">
        <f>IFERROR(VLOOKUP(D1002, Sheet2!$A:$C, 3, FALSE), 0)</f>
        <v>7899.9999999999991</v>
      </c>
      <c r="G1002" s="6">
        <f t="shared" si="16"/>
        <v>7971099.9999999991</v>
      </c>
    </row>
    <row r="1003" spans="1:7" ht="17.25" x14ac:dyDescent="0.3">
      <c r="A1003" s="22" t="s">
        <v>270</v>
      </c>
      <c r="B1003" s="22" t="s">
        <v>27</v>
      </c>
      <c r="C1003" s="4" t="s">
        <v>215</v>
      </c>
      <c r="D1003" s="3" t="s">
        <v>264</v>
      </c>
      <c r="E1003" s="7">
        <v>799</v>
      </c>
      <c r="F1003" s="5">
        <f>IFERROR(VLOOKUP(D1003, Sheet2!$A:$C, 3, FALSE), 0)</f>
        <v>4454.545454545454</v>
      </c>
      <c r="G1003" s="6">
        <f t="shared" si="16"/>
        <v>3559181.8181818179</v>
      </c>
    </row>
    <row r="1004" spans="1:7" ht="17.25" x14ac:dyDescent="0.3">
      <c r="A1004" s="23" t="s">
        <v>270</v>
      </c>
      <c r="B1004" s="22" t="s">
        <v>30</v>
      </c>
      <c r="C1004" s="4" t="s">
        <v>339</v>
      </c>
      <c r="D1004" s="11" t="s">
        <v>108</v>
      </c>
      <c r="E1004" s="7">
        <v>797</v>
      </c>
      <c r="F1004" s="5">
        <f>IFERROR(VLOOKUP(D1004, Sheet2!$A:$C, 3, FALSE), 0)</f>
        <v>12272.727272727272</v>
      </c>
      <c r="G1004" s="6">
        <f t="shared" si="16"/>
        <v>9781363.6363636367</v>
      </c>
    </row>
    <row r="1005" spans="1:7" ht="17.25" x14ac:dyDescent="0.3">
      <c r="A1005" s="23" t="s">
        <v>270</v>
      </c>
      <c r="B1005" s="22" t="s">
        <v>30</v>
      </c>
      <c r="C1005" s="4" t="s">
        <v>339</v>
      </c>
      <c r="D1005" s="3" t="s">
        <v>67</v>
      </c>
      <c r="E1005" s="7">
        <v>679</v>
      </c>
      <c r="F1005" s="5">
        <f>IFERROR(VLOOKUP(D1005, Sheet2!$A:$C, 3, FALSE), 0)</f>
        <v>10818.181818181818</v>
      </c>
      <c r="G1005" s="6">
        <f t="shared" si="16"/>
        <v>7345545.4545454541</v>
      </c>
    </row>
    <row r="1006" spans="1:7" ht="17.25" x14ac:dyDescent="0.3">
      <c r="A1006" s="23" t="s">
        <v>270</v>
      </c>
      <c r="B1006" s="22" t="s">
        <v>30</v>
      </c>
      <c r="C1006" s="4" t="s">
        <v>339</v>
      </c>
      <c r="D1006" s="11" t="s">
        <v>117</v>
      </c>
      <c r="E1006" s="7">
        <v>812</v>
      </c>
      <c r="F1006" s="5">
        <f>IFERROR(VLOOKUP(D1006, Sheet2!$A:$C, 3, FALSE), 0)</f>
        <v>11363.636363636362</v>
      </c>
      <c r="G1006" s="6">
        <f t="shared" si="16"/>
        <v>9227272.7272727266</v>
      </c>
    </row>
    <row r="1007" spans="1:7" ht="17.25" x14ac:dyDescent="0.3">
      <c r="A1007" s="23" t="s">
        <v>270</v>
      </c>
      <c r="B1007" s="22" t="s">
        <v>63</v>
      </c>
      <c r="C1007" s="4" t="s">
        <v>337</v>
      </c>
      <c r="D1007" s="3" t="s">
        <v>70</v>
      </c>
      <c r="E1007" s="7">
        <v>379</v>
      </c>
      <c r="F1007" s="5">
        <f>IFERROR(VLOOKUP(D1007, Sheet2!$A:$C, 3, FALSE), 0)</f>
        <v>18636.363636363636</v>
      </c>
      <c r="G1007" s="6">
        <f t="shared" si="16"/>
        <v>7063181.8181818184</v>
      </c>
    </row>
    <row r="1008" spans="1:7" ht="17.25" x14ac:dyDescent="0.3">
      <c r="A1008" s="22" t="s">
        <v>270</v>
      </c>
      <c r="B1008" s="22" t="s">
        <v>33</v>
      </c>
      <c r="C1008" s="4" t="s">
        <v>344</v>
      </c>
      <c r="D1008" s="3" t="s">
        <v>44</v>
      </c>
      <c r="E1008" s="7">
        <v>99</v>
      </c>
      <c r="F1008" s="5">
        <f>IFERROR(VLOOKUP(D1008, Sheet2!$A:$C, 3, FALSE), 0)</f>
        <v>5909.090909090909</v>
      </c>
      <c r="G1008" s="6">
        <f t="shared" si="16"/>
        <v>585000</v>
      </c>
    </row>
    <row r="1009" spans="1:7" ht="17.25" x14ac:dyDescent="0.3">
      <c r="A1009" s="23" t="s">
        <v>270</v>
      </c>
      <c r="B1009" s="22" t="s">
        <v>33</v>
      </c>
      <c r="C1009" s="4" t="s">
        <v>341</v>
      </c>
      <c r="D1009" s="4" t="s">
        <v>17</v>
      </c>
      <c r="E1009" s="7">
        <v>103</v>
      </c>
      <c r="F1009" s="5">
        <f>IFERROR(VLOOKUP(D1009, Sheet2!$A:$C, 3, FALSE), 0)</f>
        <v>11700</v>
      </c>
      <c r="G1009" s="6">
        <f t="shared" si="16"/>
        <v>1205100</v>
      </c>
    </row>
    <row r="1010" spans="1:7" ht="17.25" x14ac:dyDescent="0.3">
      <c r="A1010" s="23" t="s">
        <v>270</v>
      </c>
      <c r="B1010" s="22" t="s">
        <v>95</v>
      </c>
      <c r="C1010" s="4" t="s">
        <v>344</v>
      </c>
      <c r="D1010" s="3" t="s">
        <v>53</v>
      </c>
      <c r="E1010" s="7">
        <v>516</v>
      </c>
      <c r="F1010" s="5">
        <f>IFERROR(VLOOKUP(D1010, Sheet2!$A:$C, 3, FALSE), 0)</f>
        <v>5818.181818181818</v>
      </c>
      <c r="G1010" s="6">
        <f t="shared" si="16"/>
        <v>3002181.8181818179</v>
      </c>
    </row>
    <row r="1011" spans="1:7" ht="17.25" x14ac:dyDescent="0.3">
      <c r="A1011" s="23" t="s">
        <v>271</v>
      </c>
      <c r="B1011" s="22" t="s">
        <v>24</v>
      </c>
      <c r="C1011" s="4" t="s">
        <v>341</v>
      </c>
      <c r="D1011" s="4" t="s">
        <v>110</v>
      </c>
      <c r="E1011" s="7">
        <v>43</v>
      </c>
      <c r="F1011" s="5">
        <f>IFERROR(VLOOKUP(D1011, Sheet2!$A:$C, 3, FALSE), 0)</f>
        <v>2500</v>
      </c>
      <c r="G1011" s="6">
        <f t="shared" si="16"/>
        <v>107500</v>
      </c>
    </row>
    <row r="1012" spans="1:7" ht="17.25" x14ac:dyDescent="0.3">
      <c r="A1012" s="23" t="s">
        <v>271</v>
      </c>
      <c r="B1012" s="22" t="s">
        <v>24</v>
      </c>
      <c r="C1012" s="4" t="s">
        <v>341</v>
      </c>
      <c r="D1012" s="4" t="s">
        <v>17</v>
      </c>
      <c r="E1012" s="7">
        <v>104</v>
      </c>
      <c r="F1012" s="5">
        <f>IFERROR(VLOOKUP(D1012, Sheet2!$A:$C, 3, FALSE), 0)</f>
        <v>11700</v>
      </c>
      <c r="G1012" s="6">
        <f t="shared" si="16"/>
        <v>1216800</v>
      </c>
    </row>
    <row r="1013" spans="1:7" ht="17.25" x14ac:dyDescent="0.3">
      <c r="A1013" s="22" t="s">
        <v>271</v>
      </c>
      <c r="B1013" s="22" t="s">
        <v>43</v>
      </c>
      <c r="C1013" s="4" t="s">
        <v>344</v>
      </c>
      <c r="D1013" s="3" t="s">
        <v>56</v>
      </c>
      <c r="E1013" s="7">
        <v>58</v>
      </c>
      <c r="F1013" s="5">
        <f>IFERROR(VLOOKUP(D1013, Sheet2!$A:$C, 3, FALSE), 0)</f>
        <v>5545.454545454545</v>
      </c>
      <c r="G1013" s="6">
        <f t="shared" si="16"/>
        <v>321636.36363636359</v>
      </c>
    </row>
    <row r="1014" spans="1:7" ht="17.25" x14ac:dyDescent="0.3">
      <c r="A1014" s="22" t="s">
        <v>271</v>
      </c>
      <c r="B1014" s="22" t="s">
        <v>8</v>
      </c>
      <c r="C1014" s="4" t="s">
        <v>342</v>
      </c>
      <c r="D1014" s="11" t="s">
        <v>61</v>
      </c>
      <c r="E1014" s="7">
        <v>53</v>
      </c>
      <c r="F1014" s="5">
        <f>IFERROR(VLOOKUP(D1014, Sheet2!$A:$C, 3, FALSE), 0)</f>
        <v>7363.6363636363631</v>
      </c>
      <c r="G1014" s="6">
        <f t="shared" si="16"/>
        <v>390272.72727272724</v>
      </c>
    </row>
    <row r="1015" spans="1:7" ht="17.25" x14ac:dyDescent="0.3">
      <c r="A1015" s="22" t="s">
        <v>271</v>
      </c>
      <c r="B1015" s="22" t="s">
        <v>33</v>
      </c>
      <c r="C1015" s="4" t="s">
        <v>340</v>
      </c>
      <c r="D1015" s="3" t="s">
        <v>49</v>
      </c>
      <c r="E1015" s="7">
        <v>189</v>
      </c>
      <c r="F1015" s="5">
        <f>IFERROR(VLOOKUP(D1015, Sheet2!$A:$C, 3, FALSE), 0)</f>
        <v>38000</v>
      </c>
      <c r="G1015" s="6">
        <f t="shared" si="16"/>
        <v>7182000</v>
      </c>
    </row>
    <row r="1016" spans="1:7" ht="17.25" x14ac:dyDescent="0.3">
      <c r="A1016" s="22" t="s">
        <v>271</v>
      </c>
      <c r="B1016" s="22" t="s">
        <v>60</v>
      </c>
      <c r="C1016" s="4" t="s">
        <v>338</v>
      </c>
      <c r="D1016" s="3" t="s">
        <v>36</v>
      </c>
      <c r="E1016" s="7">
        <v>280</v>
      </c>
      <c r="F1016" s="5">
        <f>IFERROR(VLOOKUP(D1016, Sheet2!$A:$C, 3, FALSE), 0)</f>
        <v>7899.9999999999991</v>
      </c>
      <c r="G1016" s="6">
        <f t="shared" si="16"/>
        <v>2211999.9999999995</v>
      </c>
    </row>
    <row r="1017" spans="1:7" ht="17.25" x14ac:dyDescent="0.3">
      <c r="A1017" s="23" t="s">
        <v>271</v>
      </c>
      <c r="B1017" s="22" t="s">
        <v>60</v>
      </c>
      <c r="C1017" s="4" t="s">
        <v>337</v>
      </c>
      <c r="D1017" s="3" t="s">
        <v>26</v>
      </c>
      <c r="E1017" s="7">
        <v>207</v>
      </c>
      <c r="F1017" s="5">
        <f>IFERROR(VLOOKUP(D1017, Sheet2!$A:$C, 3, FALSE), 0)</f>
        <v>21000</v>
      </c>
      <c r="G1017" s="6">
        <f t="shared" si="16"/>
        <v>4347000</v>
      </c>
    </row>
    <row r="1018" spans="1:7" ht="17.25" x14ac:dyDescent="0.3">
      <c r="A1018" s="23" t="s">
        <v>271</v>
      </c>
      <c r="B1018" s="22" t="s">
        <v>60</v>
      </c>
      <c r="C1018" s="4" t="s">
        <v>215</v>
      </c>
      <c r="D1018" s="3" t="s">
        <v>181</v>
      </c>
      <c r="E1018" s="7">
        <v>404</v>
      </c>
      <c r="F1018" s="5">
        <f>IFERROR(VLOOKUP(D1018, Sheet2!$A:$C, 3, FALSE), 0)</f>
        <v>9000</v>
      </c>
      <c r="G1018" s="6">
        <f t="shared" si="16"/>
        <v>3636000</v>
      </c>
    </row>
    <row r="1019" spans="1:7" ht="17.25" x14ac:dyDescent="0.3">
      <c r="A1019" s="23" t="s">
        <v>272</v>
      </c>
      <c r="B1019" s="22" t="s">
        <v>66</v>
      </c>
      <c r="C1019" s="4" t="s">
        <v>338</v>
      </c>
      <c r="D1019" s="3" t="s">
        <v>54</v>
      </c>
      <c r="E1019" s="7">
        <v>692</v>
      </c>
      <c r="F1019" s="5">
        <f>IFERROR(VLOOKUP(D1019, Sheet2!$A:$C, 3, FALSE), 0)</f>
        <v>7899.9999999999991</v>
      </c>
      <c r="G1019" s="6">
        <f t="shared" si="16"/>
        <v>5466799.9999999991</v>
      </c>
    </row>
    <row r="1020" spans="1:7" ht="17.25" x14ac:dyDescent="0.3">
      <c r="A1020" s="22" t="s">
        <v>272</v>
      </c>
      <c r="B1020" s="22" t="s">
        <v>66</v>
      </c>
      <c r="C1020" s="4" t="s">
        <v>339</v>
      </c>
      <c r="D1020" s="3" t="s">
        <v>67</v>
      </c>
      <c r="E1020" s="7">
        <v>1041</v>
      </c>
      <c r="F1020" s="5">
        <f>IFERROR(VLOOKUP(D1020, Sheet2!$A:$C, 3, FALSE), 0)</f>
        <v>10818.181818181818</v>
      </c>
      <c r="G1020" s="6">
        <f t="shared" si="16"/>
        <v>11261727.272727273</v>
      </c>
    </row>
    <row r="1021" spans="1:7" ht="17.25" x14ac:dyDescent="0.3">
      <c r="A1021" s="22" t="s">
        <v>272</v>
      </c>
      <c r="B1021" s="22" t="s">
        <v>66</v>
      </c>
      <c r="C1021" s="4" t="s">
        <v>340</v>
      </c>
      <c r="D1021" s="3" t="s">
        <v>49</v>
      </c>
      <c r="E1021" s="7">
        <v>259</v>
      </c>
      <c r="F1021" s="5">
        <f>IFERROR(VLOOKUP(D1021, Sheet2!$A:$C, 3, FALSE), 0)</f>
        <v>38000</v>
      </c>
      <c r="G1021" s="6">
        <f t="shared" si="16"/>
        <v>9842000</v>
      </c>
    </row>
    <row r="1022" spans="1:7" ht="17.25" x14ac:dyDescent="0.3">
      <c r="A1022" s="23" t="s">
        <v>272</v>
      </c>
      <c r="B1022" s="22" t="s">
        <v>66</v>
      </c>
      <c r="C1022" s="4" t="s">
        <v>344</v>
      </c>
      <c r="D1022" s="3" t="s">
        <v>59</v>
      </c>
      <c r="E1022" s="7">
        <v>241</v>
      </c>
      <c r="F1022" s="5">
        <f>IFERROR(VLOOKUP(D1022, Sheet2!$A:$C, 3, FALSE), 0)</f>
        <v>4681.8181818181811</v>
      </c>
      <c r="G1022" s="6">
        <f t="shared" si="16"/>
        <v>1128318.1818181816</v>
      </c>
    </row>
    <row r="1023" spans="1:7" ht="17.25" x14ac:dyDescent="0.3">
      <c r="A1023" s="22" t="s">
        <v>272</v>
      </c>
      <c r="B1023" s="22" t="s">
        <v>19</v>
      </c>
      <c r="C1023" s="4" t="s">
        <v>344</v>
      </c>
      <c r="D1023" s="3" t="s">
        <v>53</v>
      </c>
      <c r="E1023" s="7">
        <v>551</v>
      </c>
      <c r="F1023" s="5">
        <f>IFERROR(VLOOKUP(D1023, Sheet2!$A:$C, 3, FALSE), 0)</f>
        <v>5818.181818181818</v>
      </c>
      <c r="G1023" s="6">
        <f t="shared" si="16"/>
        <v>3205818.1818181816</v>
      </c>
    </row>
    <row r="1024" spans="1:7" ht="17.25" x14ac:dyDescent="0.3">
      <c r="A1024" s="23" t="s">
        <v>272</v>
      </c>
      <c r="B1024" s="22" t="s">
        <v>103</v>
      </c>
      <c r="C1024" s="4" t="s">
        <v>337</v>
      </c>
      <c r="D1024" s="3" t="s">
        <v>78</v>
      </c>
      <c r="E1024" s="7">
        <v>891</v>
      </c>
      <c r="F1024" s="5">
        <f>IFERROR(VLOOKUP(D1024, Sheet2!$A:$C, 3, FALSE), 0)</f>
        <v>14999.999999999998</v>
      </c>
      <c r="G1024" s="6">
        <f t="shared" si="16"/>
        <v>13364999.999999998</v>
      </c>
    </row>
    <row r="1025" spans="1:7" ht="17.25" x14ac:dyDescent="0.3">
      <c r="A1025" s="23" t="s">
        <v>272</v>
      </c>
      <c r="B1025" s="22" t="s">
        <v>21</v>
      </c>
      <c r="C1025" s="4" t="s">
        <v>344</v>
      </c>
      <c r="D1025" s="3" t="s">
        <v>20</v>
      </c>
      <c r="E1025" s="7">
        <v>294</v>
      </c>
      <c r="F1025" s="5">
        <f>IFERROR(VLOOKUP(D1025, Sheet2!$A:$C, 3, FALSE), 0)</f>
        <v>6999.9999999999991</v>
      </c>
      <c r="G1025" s="6">
        <f t="shared" si="16"/>
        <v>2057999.9999999998</v>
      </c>
    </row>
    <row r="1026" spans="1:7" ht="17.25" x14ac:dyDescent="0.3">
      <c r="A1026" s="22" t="s">
        <v>272</v>
      </c>
      <c r="B1026" s="22" t="s">
        <v>46</v>
      </c>
      <c r="C1026" s="4" t="s">
        <v>344</v>
      </c>
      <c r="D1026" s="3" t="s">
        <v>52</v>
      </c>
      <c r="E1026" s="7">
        <v>577</v>
      </c>
      <c r="F1026" s="5">
        <f>IFERROR(VLOOKUP(D1026, Sheet2!$A:$C, 3, FALSE), 0)</f>
        <v>5999.9999999999991</v>
      </c>
      <c r="G1026" s="6">
        <f t="shared" si="16"/>
        <v>3461999.9999999995</v>
      </c>
    </row>
    <row r="1027" spans="1:7" ht="17.25" x14ac:dyDescent="0.3">
      <c r="A1027" s="23" t="s">
        <v>272</v>
      </c>
      <c r="B1027" s="22" t="s">
        <v>24</v>
      </c>
      <c r="C1027" s="4" t="s">
        <v>341</v>
      </c>
      <c r="D1027" s="4" t="s">
        <v>110</v>
      </c>
      <c r="E1027" s="7">
        <v>6</v>
      </c>
      <c r="F1027" s="5">
        <f>IFERROR(VLOOKUP(D1027, Sheet2!$A:$C, 3, FALSE), 0)</f>
        <v>2500</v>
      </c>
      <c r="G1027" s="6">
        <f t="shared" si="16"/>
        <v>15000</v>
      </c>
    </row>
    <row r="1028" spans="1:7" ht="17.25" x14ac:dyDescent="0.3">
      <c r="A1028" s="23" t="s">
        <v>272</v>
      </c>
      <c r="B1028" s="22" t="s">
        <v>24</v>
      </c>
      <c r="C1028" s="4" t="s">
        <v>341</v>
      </c>
      <c r="D1028" s="4" t="s">
        <v>17</v>
      </c>
      <c r="E1028" s="7">
        <v>162</v>
      </c>
      <c r="F1028" s="5">
        <f>IFERROR(VLOOKUP(D1028, Sheet2!$A:$C, 3, FALSE), 0)</f>
        <v>11700</v>
      </c>
      <c r="G1028" s="6">
        <f t="shared" si="16"/>
        <v>1895400</v>
      </c>
    </row>
    <row r="1029" spans="1:7" ht="17.25" x14ac:dyDescent="0.3">
      <c r="A1029" s="23" t="s">
        <v>272</v>
      </c>
      <c r="B1029" s="22" t="s">
        <v>16</v>
      </c>
      <c r="C1029" s="4" t="s">
        <v>337</v>
      </c>
      <c r="D1029" s="3" t="s">
        <v>64</v>
      </c>
      <c r="E1029" s="7">
        <v>2144</v>
      </c>
      <c r="F1029" s="5">
        <f>IFERROR(VLOOKUP(D1029, Sheet2!$A:$C, 3, FALSE), 0)</f>
        <v>14545.454545454544</v>
      </c>
      <c r="G1029" s="6">
        <f t="shared" si="16"/>
        <v>31185454.545454543</v>
      </c>
    </row>
    <row r="1030" spans="1:7" ht="17.25" x14ac:dyDescent="0.3">
      <c r="A1030" s="22" t="s">
        <v>272</v>
      </c>
      <c r="B1030" s="22" t="s">
        <v>11</v>
      </c>
      <c r="C1030" s="4" t="s">
        <v>337</v>
      </c>
      <c r="D1030" s="3" t="s">
        <v>83</v>
      </c>
      <c r="E1030" s="7">
        <v>95</v>
      </c>
      <c r="F1030" s="5">
        <f>IFERROR(VLOOKUP(D1030, Sheet2!$A:$C, 3, FALSE), 0)</f>
        <v>7636.363636363636</v>
      </c>
      <c r="G1030" s="6">
        <f t="shared" si="16"/>
        <v>725454.54545454541</v>
      </c>
    </row>
    <row r="1031" spans="1:7" ht="17.25" x14ac:dyDescent="0.3">
      <c r="A1031" s="23" t="s">
        <v>272</v>
      </c>
      <c r="B1031" s="22" t="s">
        <v>63</v>
      </c>
      <c r="C1031" s="4" t="s">
        <v>338</v>
      </c>
      <c r="D1031" s="3" t="s">
        <v>54</v>
      </c>
      <c r="E1031" s="7">
        <v>745</v>
      </c>
      <c r="F1031" s="5">
        <f>IFERROR(VLOOKUP(D1031, Sheet2!$A:$C, 3, FALSE), 0)</f>
        <v>7899.9999999999991</v>
      </c>
      <c r="G1031" s="6">
        <f t="shared" si="16"/>
        <v>5885499.9999999991</v>
      </c>
    </row>
    <row r="1032" spans="1:7" ht="17.25" x14ac:dyDescent="0.3">
      <c r="A1032" s="22" t="s">
        <v>272</v>
      </c>
      <c r="B1032" s="22" t="s">
        <v>43</v>
      </c>
      <c r="C1032" s="4" t="s">
        <v>344</v>
      </c>
      <c r="D1032" s="3" t="s">
        <v>56</v>
      </c>
      <c r="E1032" s="7">
        <v>173</v>
      </c>
      <c r="F1032" s="5">
        <f>IFERROR(VLOOKUP(D1032, Sheet2!$A:$C, 3, FALSE), 0)</f>
        <v>5545.454545454545</v>
      </c>
      <c r="G1032" s="6">
        <f t="shared" si="16"/>
        <v>959363.63636363624</v>
      </c>
    </row>
    <row r="1033" spans="1:7" ht="17.25" x14ac:dyDescent="0.3">
      <c r="A1033" s="22" t="s">
        <v>272</v>
      </c>
      <c r="B1033" s="22" t="s">
        <v>33</v>
      </c>
      <c r="C1033" s="4" t="s">
        <v>344</v>
      </c>
      <c r="D1033" s="3" t="s">
        <v>20</v>
      </c>
      <c r="E1033" s="7">
        <v>61</v>
      </c>
      <c r="F1033" s="5">
        <f>IFERROR(VLOOKUP(D1033, Sheet2!$A:$C, 3, FALSE), 0)</f>
        <v>6999.9999999999991</v>
      </c>
      <c r="G1033" s="6">
        <f t="shared" si="16"/>
        <v>426999.99999999994</v>
      </c>
    </row>
    <row r="1034" spans="1:7" ht="17.25" x14ac:dyDescent="0.3">
      <c r="A1034" s="22" t="s">
        <v>273</v>
      </c>
      <c r="B1034" s="22" t="s">
        <v>19</v>
      </c>
      <c r="C1034" s="4" t="s">
        <v>337</v>
      </c>
      <c r="D1034" s="3" t="s">
        <v>182</v>
      </c>
      <c r="E1034" s="7">
        <v>563</v>
      </c>
      <c r="F1034" s="5">
        <f>IFERROR(VLOOKUP(D1034, Sheet2!$A:$C, 3, FALSE), 0)</f>
        <v>17800</v>
      </c>
      <c r="G1034" s="6">
        <f t="shared" si="16"/>
        <v>10021400</v>
      </c>
    </row>
    <row r="1035" spans="1:7" ht="17.25" x14ac:dyDescent="0.3">
      <c r="A1035" s="23" t="s">
        <v>273</v>
      </c>
      <c r="B1035" s="22" t="s">
        <v>31</v>
      </c>
      <c r="C1035" s="4" t="s">
        <v>344</v>
      </c>
      <c r="D1035" s="3" t="s">
        <v>32</v>
      </c>
      <c r="E1035" s="7">
        <v>722</v>
      </c>
      <c r="F1035" s="5">
        <f>IFERROR(VLOOKUP(D1035, Sheet2!$A:$C, 3, FALSE), 0)</f>
        <v>4363.6363636363631</v>
      </c>
      <c r="G1035" s="6">
        <f t="shared" si="16"/>
        <v>3150545.4545454541</v>
      </c>
    </row>
    <row r="1036" spans="1:7" ht="17.25" x14ac:dyDescent="0.3">
      <c r="A1036" s="22" t="s">
        <v>273</v>
      </c>
      <c r="B1036" s="22" t="s">
        <v>25</v>
      </c>
      <c r="C1036" s="4" t="s">
        <v>337</v>
      </c>
      <c r="D1036" s="3" t="s">
        <v>79</v>
      </c>
      <c r="E1036" s="7">
        <v>488</v>
      </c>
      <c r="F1036" s="5">
        <f>IFERROR(VLOOKUP(D1036, Sheet2!$A:$C, 3, FALSE), 0)</f>
        <v>21363.63636363636</v>
      </c>
      <c r="G1036" s="6">
        <f t="shared" si="16"/>
        <v>10425454.545454543</v>
      </c>
    </row>
    <row r="1037" spans="1:7" ht="17.25" x14ac:dyDescent="0.3">
      <c r="A1037" s="22" t="s">
        <v>273</v>
      </c>
      <c r="B1037" s="22" t="s">
        <v>11</v>
      </c>
      <c r="C1037" s="4" t="s">
        <v>337</v>
      </c>
      <c r="D1037" s="3" t="s">
        <v>94</v>
      </c>
      <c r="E1037" s="7">
        <v>74</v>
      </c>
      <c r="F1037" s="5">
        <f>IFERROR(VLOOKUP(D1037, Sheet2!$A:$C, 3, FALSE), 0)</f>
        <v>14181.81818181818</v>
      </c>
      <c r="G1037" s="6">
        <f t="shared" si="16"/>
        <v>1049454.5454545454</v>
      </c>
    </row>
    <row r="1038" spans="1:7" ht="17.25" x14ac:dyDescent="0.3">
      <c r="A1038" s="22" t="s">
        <v>273</v>
      </c>
      <c r="B1038" s="22" t="s">
        <v>11</v>
      </c>
      <c r="C1038" s="4" t="s">
        <v>337</v>
      </c>
      <c r="D1038" s="3" t="s">
        <v>55</v>
      </c>
      <c r="E1038" s="7">
        <v>1047</v>
      </c>
      <c r="F1038" s="5">
        <f>IFERROR(VLOOKUP(D1038, Sheet2!$A:$C, 3, FALSE), 0)</f>
        <v>14899.999999999998</v>
      </c>
      <c r="G1038" s="6">
        <f t="shared" si="16"/>
        <v>15600299.999999998</v>
      </c>
    </row>
    <row r="1039" spans="1:7" ht="17.25" x14ac:dyDescent="0.3">
      <c r="A1039" s="23" t="s">
        <v>273</v>
      </c>
      <c r="B1039" s="22" t="s">
        <v>41</v>
      </c>
      <c r="C1039" s="4" t="s">
        <v>215</v>
      </c>
      <c r="D1039" s="11" t="s">
        <v>116</v>
      </c>
      <c r="E1039" s="7">
        <v>8415</v>
      </c>
      <c r="F1039" s="5">
        <f>IFERROR(VLOOKUP(D1039, Sheet2!$A:$C, 3, FALSE), 0)</f>
        <v>2045.4545454545453</v>
      </c>
      <c r="G1039" s="6">
        <f t="shared" si="16"/>
        <v>17212500</v>
      </c>
    </row>
    <row r="1040" spans="1:7" ht="17.25" x14ac:dyDescent="0.3">
      <c r="A1040" s="23" t="s">
        <v>273</v>
      </c>
      <c r="B1040" s="22" t="s">
        <v>33</v>
      </c>
      <c r="C1040" s="4" t="s">
        <v>344</v>
      </c>
      <c r="D1040" s="3" t="s">
        <v>44</v>
      </c>
      <c r="E1040" s="7">
        <v>286</v>
      </c>
      <c r="F1040" s="5">
        <f>IFERROR(VLOOKUP(D1040, Sheet2!$A:$C, 3, FALSE), 0)</f>
        <v>5909.090909090909</v>
      </c>
      <c r="G1040" s="6">
        <f t="shared" si="16"/>
        <v>1690000</v>
      </c>
    </row>
    <row r="1041" spans="1:7" ht="17.25" x14ac:dyDescent="0.3">
      <c r="A1041" s="22" t="s">
        <v>273</v>
      </c>
      <c r="B1041" s="22" t="s">
        <v>33</v>
      </c>
      <c r="C1041" s="4" t="s">
        <v>341</v>
      </c>
      <c r="D1041" s="4" t="s">
        <v>110</v>
      </c>
      <c r="E1041" s="7">
        <v>99</v>
      </c>
      <c r="F1041" s="5">
        <f>IFERROR(VLOOKUP(D1041, Sheet2!$A:$C, 3, FALSE), 0)</f>
        <v>2500</v>
      </c>
      <c r="G1041" s="6">
        <f t="shared" si="16"/>
        <v>247500</v>
      </c>
    </row>
    <row r="1042" spans="1:7" ht="17.25" x14ac:dyDescent="0.3">
      <c r="A1042" s="22" t="s">
        <v>274</v>
      </c>
      <c r="B1042" s="22" t="s">
        <v>93</v>
      </c>
      <c r="C1042" s="4" t="s">
        <v>344</v>
      </c>
      <c r="D1042" s="3" t="s">
        <v>39</v>
      </c>
      <c r="E1042" s="7">
        <v>265</v>
      </c>
      <c r="F1042" s="5">
        <f>IFERROR(VLOOKUP(D1042, Sheet2!$A:$C, 3, FALSE), 0)</f>
        <v>3863.6363636363635</v>
      </c>
      <c r="G1042" s="6">
        <f t="shared" si="16"/>
        <v>1023863.6363636364</v>
      </c>
    </row>
    <row r="1043" spans="1:7" ht="17.25" x14ac:dyDescent="0.3">
      <c r="A1043" s="23" t="s">
        <v>274</v>
      </c>
      <c r="B1043" s="22" t="s">
        <v>48</v>
      </c>
      <c r="C1043" s="4" t="s">
        <v>344</v>
      </c>
      <c r="D1043" s="3" t="s">
        <v>52</v>
      </c>
      <c r="E1043" s="7">
        <v>477</v>
      </c>
      <c r="F1043" s="5">
        <f>IFERROR(VLOOKUP(D1043, Sheet2!$A:$C, 3, FALSE), 0)</f>
        <v>5999.9999999999991</v>
      </c>
      <c r="G1043" s="6">
        <f t="shared" si="16"/>
        <v>2861999.9999999995</v>
      </c>
    </row>
    <row r="1044" spans="1:7" ht="17.25" x14ac:dyDescent="0.3">
      <c r="A1044" s="22" t="s">
        <v>274</v>
      </c>
      <c r="B1044" s="22" t="s">
        <v>43</v>
      </c>
      <c r="C1044" s="4" t="s">
        <v>344</v>
      </c>
      <c r="D1044" s="3" t="s">
        <v>56</v>
      </c>
      <c r="E1044" s="7">
        <v>117</v>
      </c>
      <c r="F1044" s="5">
        <f>IFERROR(VLOOKUP(D1044, Sheet2!$A:$C, 3, FALSE), 0)</f>
        <v>5545.454545454545</v>
      </c>
      <c r="G1044" s="6">
        <f t="shared" si="16"/>
        <v>648818.18181818177</v>
      </c>
    </row>
    <row r="1045" spans="1:7" ht="17.25" x14ac:dyDescent="0.3">
      <c r="A1045" s="22" t="s">
        <v>274</v>
      </c>
      <c r="B1045" s="22" t="s">
        <v>43</v>
      </c>
      <c r="C1045" s="4" t="s">
        <v>337</v>
      </c>
      <c r="D1045" s="3" t="s">
        <v>94</v>
      </c>
      <c r="E1045" s="7">
        <v>366</v>
      </c>
      <c r="F1045" s="5">
        <f>IFERROR(VLOOKUP(D1045, Sheet2!$A:$C, 3, FALSE), 0)</f>
        <v>14181.81818181818</v>
      </c>
      <c r="G1045" s="6">
        <f t="shared" si="16"/>
        <v>5190545.4545454541</v>
      </c>
    </row>
    <row r="1046" spans="1:7" ht="17.25" x14ac:dyDescent="0.3">
      <c r="A1046" s="22" t="s">
        <v>274</v>
      </c>
      <c r="B1046" s="22" t="s">
        <v>60</v>
      </c>
      <c r="C1046" s="4" t="s">
        <v>337</v>
      </c>
      <c r="D1046" s="3" t="s">
        <v>9</v>
      </c>
      <c r="E1046" s="7">
        <v>493</v>
      </c>
      <c r="F1046" s="5">
        <f>IFERROR(VLOOKUP(D1046, Sheet2!$A:$C, 3, FALSE), 0)</f>
        <v>18636.363636363636</v>
      </c>
      <c r="G1046" s="6">
        <f t="shared" si="16"/>
        <v>9187727.2727272734</v>
      </c>
    </row>
    <row r="1047" spans="1:7" ht="17.25" x14ac:dyDescent="0.3">
      <c r="A1047" s="22" t="s">
        <v>274</v>
      </c>
      <c r="B1047" s="22" t="s">
        <v>60</v>
      </c>
      <c r="C1047" s="4" t="s">
        <v>342</v>
      </c>
      <c r="D1047" s="3" t="s">
        <v>61</v>
      </c>
      <c r="E1047" s="7">
        <v>57</v>
      </c>
      <c r="F1047" s="5">
        <f>IFERROR(VLOOKUP(D1047, Sheet2!$A:$C, 3, FALSE), 0)</f>
        <v>7363.6363636363631</v>
      </c>
      <c r="G1047" s="6">
        <f t="shared" si="16"/>
        <v>419727.27272727271</v>
      </c>
    </row>
    <row r="1048" spans="1:7" ht="17.25" x14ac:dyDescent="0.3">
      <c r="A1048" s="22" t="s">
        <v>274</v>
      </c>
      <c r="B1048" s="22" t="s">
        <v>60</v>
      </c>
      <c r="C1048" s="4" t="s">
        <v>337</v>
      </c>
      <c r="D1048" s="11" t="s">
        <v>78</v>
      </c>
      <c r="E1048" s="7">
        <v>525</v>
      </c>
      <c r="F1048" s="5">
        <f>IFERROR(VLOOKUP(D1048, Sheet2!$A:$C, 3, FALSE), 0)</f>
        <v>14999.999999999998</v>
      </c>
      <c r="G1048" s="6">
        <f t="shared" si="16"/>
        <v>7874999.9999999991</v>
      </c>
    </row>
    <row r="1049" spans="1:7" ht="17.25" x14ac:dyDescent="0.3">
      <c r="A1049" s="22" t="s">
        <v>275</v>
      </c>
      <c r="B1049" s="22" t="s">
        <v>150</v>
      </c>
      <c r="C1049" s="4" t="s">
        <v>344</v>
      </c>
      <c r="D1049" s="3" t="s">
        <v>53</v>
      </c>
      <c r="E1049" s="7">
        <v>866</v>
      </c>
      <c r="F1049" s="5">
        <f>IFERROR(VLOOKUP(D1049, Sheet2!$A:$C, 3, FALSE), 0)</f>
        <v>5818.181818181818</v>
      </c>
      <c r="G1049" s="6">
        <f t="shared" si="16"/>
        <v>5038545.4545454541</v>
      </c>
    </row>
    <row r="1050" spans="1:7" ht="17.25" x14ac:dyDescent="0.3">
      <c r="A1050" s="22" t="s">
        <v>275</v>
      </c>
      <c r="B1050" s="22" t="s">
        <v>150</v>
      </c>
      <c r="C1050" s="4" t="s">
        <v>344</v>
      </c>
      <c r="D1050" s="3" t="s">
        <v>156</v>
      </c>
      <c r="E1050" s="7">
        <v>285</v>
      </c>
      <c r="F1050" s="5">
        <f>IFERROR(VLOOKUP(D1050, Sheet2!$A:$C, 3, FALSE), 0)</f>
        <v>3454.545454545454</v>
      </c>
      <c r="G1050" s="6">
        <f t="shared" si="16"/>
        <v>984545.45454545435</v>
      </c>
    </row>
    <row r="1051" spans="1:7" ht="17.25" x14ac:dyDescent="0.3">
      <c r="A1051" s="22" t="s">
        <v>275</v>
      </c>
      <c r="B1051" s="22" t="s">
        <v>23</v>
      </c>
      <c r="C1051" s="4" t="s">
        <v>340</v>
      </c>
      <c r="D1051" s="3" t="s">
        <v>49</v>
      </c>
      <c r="E1051" s="7">
        <v>180</v>
      </c>
      <c r="F1051" s="5">
        <f>IFERROR(VLOOKUP(D1051, Sheet2!$A:$C, 3, FALSE), 0)</f>
        <v>38000</v>
      </c>
      <c r="G1051" s="6">
        <f t="shared" si="16"/>
        <v>6840000</v>
      </c>
    </row>
    <row r="1052" spans="1:7" ht="17.25" x14ac:dyDescent="0.3">
      <c r="A1052" s="22" t="s">
        <v>275</v>
      </c>
      <c r="B1052" s="22" t="s">
        <v>102</v>
      </c>
      <c r="C1052" s="4" t="s">
        <v>344</v>
      </c>
      <c r="D1052" s="11" t="s">
        <v>39</v>
      </c>
      <c r="E1052" s="7">
        <v>92</v>
      </c>
      <c r="F1052" s="5">
        <f>IFERROR(VLOOKUP(D1052, Sheet2!$A:$C, 3, FALSE), 0)</f>
        <v>3863.6363636363635</v>
      </c>
      <c r="G1052" s="6">
        <f t="shared" ref="G1052:G1115" si="17">E1052*F1052</f>
        <v>355454.54545454547</v>
      </c>
    </row>
    <row r="1053" spans="1:7" ht="17.25" x14ac:dyDescent="0.3">
      <c r="A1053" s="23" t="s">
        <v>275</v>
      </c>
      <c r="B1053" s="22" t="s">
        <v>48</v>
      </c>
      <c r="C1053" s="4" t="s">
        <v>344</v>
      </c>
      <c r="D1053" s="3" t="s">
        <v>52</v>
      </c>
      <c r="E1053" s="7">
        <v>371</v>
      </c>
      <c r="F1053" s="5">
        <f>IFERROR(VLOOKUP(D1053, Sheet2!$A:$C, 3, FALSE), 0)</f>
        <v>5999.9999999999991</v>
      </c>
      <c r="G1053" s="6">
        <f t="shared" si="17"/>
        <v>2225999.9999999995</v>
      </c>
    </row>
    <row r="1054" spans="1:7" ht="17.25" x14ac:dyDescent="0.3">
      <c r="A1054" s="23" t="s">
        <v>275</v>
      </c>
      <c r="B1054" s="22" t="s">
        <v>11</v>
      </c>
      <c r="C1054" s="4" t="s">
        <v>344</v>
      </c>
      <c r="D1054" s="3" t="s">
        <v>120</v>
      </c>
      <c r="E1054" s="10">
        <v>456</v>
      </c>
      <c r="F1054" s="5">
        <f>IFERROR(VLOOKUP(D1054, Sheet2!$A:$C, 3, FALSE), 0)</f>
        <v>6272.7272727272721</v>
      </c>
      <c r="G1054" s="6">
        <f t="shared" si="17"/>
        <v>2860363.6363636362</v>
      </c>
    </row>
    <row r="1055" spans="1:7" ht="17.25" x14ac:dyDescent="0.3">
      <c r="A1055" s="22" t="s">
        <v>275</v>
      </c>
      <c r="B1055" s="22" t="s">
        <v>14</v>
      </c>
      <c r="C1055" s="4" t="s">
        <v>344</v>
      </c>
      <c r="D1055" s="11" t="s">
        <v>52</v>
      </c>
      <c r="E1055" s="7">
        <v>358</v>
      </c>
      <c r="F1055" s="5">
        <f>IFERROR(VLOOKUP(D1055, Sheet2!$A:$C, 3, FALSE), 0)</f>
        <v>5999.9999999999991</v>
      </c>
      <c r="G1055" s="6">
        <f t="shared" si="17"/>
        <v>2147999.9999999995</v>
      </c>
    </row>
    <row r="1056" spans="1:7" ht="17.25" x14ac:dyDescent="0.3">
      <c r="A1056" s="22" t="s">
        <v>275</v>
      </c>
      <c r="B1056" s="22" t="s">
        <v>8</v>
      </c>
      <c r="C1056" s="4" t="s">
        <v>338</v>
      </c>
      <c r="D1056" s="3" t="s">
        <v>36</v>
      </c>
      <c r="E1056" s="7">
        <v>257</v>
      </c>
      <c r="F1056" s="5">
        <f>IFERROR(VLOOKUP(D1056, Sheet2!$A:$C, 3, FALSE), 0)</f>
        <v>7899.9999999999991</v>
      </c>
      <c r="G1056" s="6">
        <f t="shared" si="17"/>
        <v>2030299.9999999998</v>
      </c>
    </row>
    <row r="1057" spans="1:7" ht="17.25" x14ac:dyDescent="0.3">
      <c r="A1057" s="22" t="s">
        <v>275</v>
      </c>
      <c r="B1057" s="22" t="s">
        <v>8</v>
      </c>
      <c r="C1057" s="4" t="s">
        <v>339</v>
      </c>
      <c r="D1057" s="3" t="s">
        <v>10</v>
      </c>
      <c r="E1057" s="7">
        <v>144</v>
      </c>
      <c r="F1057" s="5">
        <f>IFERROR(VLOOKUP(D1057, Sheet2!$A:$C, 3, FALSE), 0)</f>
        <v>20818.181818181816</v>
      </c>
      <c r="G1057" s="6">
        <f t="shared" si="17"/>
        <v>2997818.1818181816</v>
      </c>
    </row>
    <row r="1058" spans="1:7" ht="17.25" x14ac:dyDescent="0.3">
      <c r="A1058" s="22" t="s">
        <v>275</v>
      </c>
      <c r="B1058" s="22" t="s">
        <v>8</v>
      </c>
      <c r="C1058" s="4" t="s">
        <v>337</v>
      </c>
      <c r="D1058" s="3" t="s">
        <v>78</v>
      </c>
      <c r="E1058" s="7">
        <v>680</v>
      </c>
      <c r="F1058" s="5">
        <f>IFERROR(VLOOKUP(D1058, Sheet2!$A:$C, 3, FALSE), 0)</f>
        <v>14999.999999999998</v>
      </c>
      <c r="G1058" s="6">
        <f t="shared" si="17"/>
        <v>10199999.999999998</v>
      </c>
    </row>
    <row r="1059" spans="1:7" ht="17.25" x14ac:dyDescent="0.3">
      <c r="A1059" s="22" t="s">
        <v>275</v>
      </c>
      <c r="B1059" s="22" t="s">
        <v>33</v>
      </c>
      <c r="C1059" s="4" t="s">
        <v>337</v>
      </c>
      <c r="D1059" s="3" t="s">
        <v>182</v>
      </c>
      <c r="E1059" s="7">
        <v>607</v>
      </c>
      <c r="F1059" s="5">
        <f>IFERROR(VLOOKUP(D1059, Sheet2!$A:$C, 3, FALSE), 0)</f>
        <v>17800</v>
      </c>
      <c r="G1059" s="6">
        <f t="shared" si="17"/>
        <v>10804600</v>
      </c>
    </row>
    <row r="1060" spans="1:7" ht="17.25" x14ac:dyDescent="0.3">
      <c r="A1060" s="22" t="s">
        <v>275</v>
      </c>
      <c r="B1060" s="22" t="s">
        <v>33</v>
      </c>
      <c r="C1060" s="4" t="s">
        <v>341</v>
      </c>
      <c r="D1060" s="4" t="s">
        <v>110</v>
      </c>
      <c r="E1060" s="7">
        <v>112</v>
      </c>
      <c r="F1060" s="5">
        <f>IFERROR(VLOOKUP(D1060, Sheet2!$A:$C, 3, FALSE), 0)</f>
        <v>2500</v>
      </c>
      <c r="G1060" s="6">
        <f t="shared" si="17"/>
        <v>280000</v>
      </c>
    </row>
    <row r="1061" spans="1:7" ht="17.25" x14ac:dyDescent="0.3">
      <c r="A1061" s="22" t="s">
        <v>275</v>
      </c>
      <c r="B1061" s="22" t="s">
        <v>33</v>
      </c>
      <c r="C1061" s="4" t="s">
        <v>341</v>
      </c>
      <c r="D1061" s="4" t="s">
        <v>17</v>
      </c>
      <c r="E1061" s="7">
        <v>38</v>
      </c>
      <c r="F1061" s="5">
        <f>IFERROR(VLOOKUP(D1061, Sheet2!$A:$C, 3, FALSE), 0)</f>
        <v>11700</v>
      </c>
      <c r="G1061" s="6">
        <f t="shared" si="17"/>
        <v>444600</v>
      </c>
    </row>
    <row r="1062" spans="1:7" ht="17.25" x14ac:dyDescent="0.3">
      <c r="A1062" s="22" t="s">
        <v>276</v>
      </c>
      <c r="B1062" s="22" t="s">
        <v>93</v>
      </c>
      <c r="C1062" s="4" t="s">
        <v>344</v>
      </c>
      <c r="D1062" s="3" t="s">
        <v>39</v>
      </c>
      <c r="E1062" s="7">
        <v>344</v>
      </c>
      <c r="F1062" s="5">
        <f>IFERROR(VLOOKUP(D1062, Sheet2!$A:$C, 3, FALSE), 0)</f>
        <v>3863.6363636363635</v>
      </c>
      <c r="G1062" s="6">
        <f t="shared" si="17"/>
        <v>1329090.9090909089</v>
      </c>
    </row>
    <row r="1063" spans="1:7" ht="17.25" x14ac:dyDescent="0.3">
      <c r="A1063" s="22" t="s">
        <v>276</v>
      </c>
      <c r="B1063" s="22" t="s">
        <v>21</v>
      </c>
      <c r="C1063" s="4" t="s">
        <v>344</v>
      </c>
      <c r="D1063" s="3" t="s">
        <v>22</v>
      </c>
      <c r="E1063" s="7">
        <v>100</v>
      </c>
      <c r="F1063" s="5">
        <f>IFERROR(VLOOKUP(D1063, Sheet2!$A:$C, 3, FALSE), 0)</f>
        <v>5999.9999999999991</v>
      </c>
      <c r="G1063" s="6">
        <f t="shared" si="17"/>
        <v>599999.99999999988</v>
      </c>
    </row>
    <row r="1064" spans="1:7" ht="17.25" x14ac:dyDescent="0.3">
      <c r="A1064" s="22" t="s">
        <v>276</v>
      </c>
      <c r="B1064" s="22" t="s">
        <v>24</v>
      </c>
      <c r="C1064" s="4" t="s">
        <v>344</v>
      </c>
      <c r="D1064" s="3" t="s">
        <v>156</v>
      </c>
      <c r="E1064" s="7">
        <v>70</v>
      </c>
      <c r="F1064" s="5">
        <f>IFERROR(VLOOKUP(D1064, Sheet2!$A:$C, 3, FALSE), 0)</f>
        <v>3454.545454545454</v>
      </c>
      <c r="G1064" s="6">
        <f t="shared" si="17"/>
        <v>241818.18181818179</v>
      </c>
    </row>
    <row r="1065" spans="1:7" ht="17.25" x14ac:dyDescent="0.3">
      <c r="A1065" s="22" t="s">
        <v>276</v>
      </c>
      <c r="B1065" s="22" t="s">
        <v>24</v>
      </c>
      <c r="C1065" s="4" t="s">
        <v>344</v>
      </c>
      <c r="D1065" s="3" t="s">
        <v>22</v>
      </c>
      <c r="E1065" s="7">
        <v>70</v>
      </c>
      <c r="F1065" s="5">
        <f>IFERROR(VLOOKUP(D1065, Sheet2!$A:$C, 3, FALSE), 0)</f>
        <v>5999.9999999999991</v>
      </c>
      <c r="G1065" s="6">
        <f t="shared" si="17"/>
        <v>419999.99999999994</v>
      </c>
    </row>
    <row r="1066" spans="1:7" ht="17.25" x14ac:dyDescent="0.3">
      <c r="A1066" s="23" t="s">
        <v>276</v>
      </c>
      <c r="B1066" s="22" t="s">
        <v>23</v>
      </c>
      <c r="C1066" s="4" t="s">
        <v>344</v>
      </c>
      <c r="D1066" s="3" t="s">
        <v>120</v>
      </c>
      <c r="E1066" s="7">
        <v>57</v>
      </c>
      <c r="F1066" s="5">
        <f>IFERROR(VLOOKUP(D1066, Sheet2!$A:$C, 3, FALSE), 0)</f>
        <v>6272.7272727272721</v>
      </c>
      <c r="G1066" s="6">
        <f t="shared" si="17"/>
        <v>357545.45454545453</v>
      </c>
    </row>
    <row r="1067" spans="1:7" ht="17.25" x14ac:dyDescent="0.3">
      <c r="A1067" s="23" t="s">
        <v>276</v>
      </c>
      <c r="B1067" s="22" t="s">
        <v>23</v>
      </c>
      <c r="C1067" s="4" t="s">
        <v>344</v>
      </c>
      <c r="D1067" s="3" t="s">
        <v>120</v>
      </c>
      <c r="E1067" s="7">
        <v>45</v>
      </c>
      <c r="F1067" s="5">
        <f>IFERROR(VLOOKUP(D1067, Sheet2!$A:$C, 3, FALSE), 0)</f>
        <v>6272.7272727272721</v>
      </c>
      <c r="G1067" s="6">
        <f t="shared" si="17"/>
        <v>282272.72727272724</v>
      </c>
    </row>
    <row r="1068" spans="1:7" ht="17.25" x14ac:dyDescent="0.3">
      <c r="A1068" s="23" t="s">
        <v>276</v>
      </c>
      <c r="B1068" s="22" t="s">
        <v>8</v>
      </c>
      <c r="C1068" s="4" t="s">
        <v>342</v>
      </c>
      <c r="D1068" s="3" t="s">
        <v>35</v>
      </c>
      <c r="E1068" s="7">
        <v>80</v>
      </c>
      <c r="F1068" s="5">
        <f>IFERROR(VLOOKUP(D1068, Sheet2!$A:$C, 3, FALSE), 0)</f>
        <v>8363.6363636363621</v>
      </c>
      <c r="G1068" s="6">
        <f t="shared" si="17"/>
        <v>669090.90909090894</v>
      </c>
    </row>
    <row r="1069" spans="1:7" ht="17.25" x14ac:dyDescent="0.3">
      <c r="A1069" s="22" t="s">
        <v>276</v>
      </c>
      <c r="B1069" s="22" t="s">
        <v>60</v>
      </c>
      <c r="C1069" s="4" t="s">
        <v>343</v>
      </c>
      <c r="D1069" s="3" t="s">
        <v>168</v>
      </c>
      <c r="E1069" s="7">
        <v>109</v>
      </c>
      <c r="F1069" s="5">
        <f>IFERROR(VLOOKUP(D1069, Sheet2!$A:$C, 3, FALSE), 0)</f>
        <v>27999.999999999996</v>
      </c>
      <c r="G1069" s="6">
        <f t="shared" si="17"/>
        <v>3051999.9999999995</v>
      </c>
    </row>
    <row r="1070" spans="1:7" ht="17.25" x14ac:dyDescent="0.3">
      <c r="A1070" s="23" t="s">
        <v>277</v>
      </c>
      <c r="B1070" s="22" t="s">
        <v>66</v>
      </c>
      <c r="C1070" s="4" t="s">
        <v>344</v>
      </c>
      <c r="D1070" s="3" t="s">
        <v>59</v>
      </c>
      <c r="E1070" s="7">
        <v>239</v>
      </c>
      <c r="F1070" s="5">
        <f>IFERROR(VLOOKUP(D1070, Sheet2!$A:$C, 3, FALSE), 0)</f>
        <v>4681.8181818181811</v>
      </c>
      <c r="G1070" s="6">
        <f t="shared" si="17"/>
        <v>1118954.5454545452</v>
      </c>
    </row>
    <row r="1071" spans="1:7" ht="17.25" x14ac:dyDescent="0.3">
      <c r="A1071" s="22" t="s">
        <v>277</v>
      </c>
      <c r="B1071" s="22" t="s">
        <v>5</v>
      </c>
      <c r="C1071" s="4" t="s">
        <v>337</v>
      </c>
      <c r="D1071" s="3" t="s">
        <v>6</v>
      </c>
      <c r="E1071" s="7">
        <v>903</v>
      </c>
      <c r="F1071" s="5">
        <f>IFERROR(VLOOKUP(D1071, Sheet2!$A:$C, 3, FALSE), 0)</f>
        <v>14999.999999999998</v>
      </c>
      <c r="G1071" s="6">
        <f t="shared" si="17"/>
        <v>13544999.999999998</v>
      </c>
    </row>
    <row r="1072" spans="1:7" ht="17.25" x14ac:dyDescent="0.3">
      <c r="A1072" s="23" t="s">
        <v>277</v>
      </c>
      <c r="B1072" s="22" t="s">
        <v>19</v>
      </c>
      <c r="C1072" s="4" t="s">
        <v>337</v>
      </c>
      <c r="D1072" s="3" t="s">
        <v>183</v>
      </c>
      <c r="E1072" s="7">
        <v>524</v>
      </c>
      <c r="F1072" s="5">
        <f>IFERROR(VLOOKUP(D1072, Sheet2!$A:$C, 3, FALSE), 0)</f>
        <v>17272.727272727272</v>
      </c>
      <c r="G1072" s="6">
        <f t="shared" si="17"/>
        <v>9050909.0909090899</v>
      </c>
    </row>
    <row r="1073" spans="1:7" ht="17.25" x14ac:dyDescent="0.3">
      <c r="A1073" s="23" t="s">
        <v>277</v>
      </c>
      <c r="B1073" s="22" t="s">
        <v>46</v>
      </c>
      <c r="C1073" s="4" t="s">
        <v>337</v>
      </c>
      <c r="D1073" s="3" t="s">
        <v>144</v>
      </c>
      <c r="E1073" s="7">
        <v>1789</v>
      </c>
      <c r="F1073" s="5">
        <f>IFERROR(VLOOKUP(D1073, Sheet2!$A:$C, 3, FALSE), 0)</f>
        <v>10272.727272727272</v>
      </c>
      <c r="G1073" s="6">
        <f t="shared" si="17"/>
        <v>18377909.09090909</v>
      </c>
    </row>
    <row r="1074" spans="1:7" ht="17.25" x14ac:dyDescent="0.3">
      <c r="A1074" s="22" t="s">
        <v>277</v>
      </c>
      <c r="B1074" s="22" t="s">
        <v>31</v>
      </c>
      <c r="C1074" s="4" t="s">
        <v>344</v>
      </c>
      <c r="D1074" s="3" t="s">
        <v>32</v>
      </c>
      <c r="E1074" s="7">
        <v>362</v>
      </c>
      <c r="F1074" s="5">
        <f>IFERROR(VLOOKUP(D1074, Sheet2!$A:$C, 3, FALSE), 0)</f>
        <v>4363.6363636363631</v>
      </c>
      <c r="G1074" s="6">
        <f t="shared" si="17"/>
        <v>1579636.3636363635</v>
      </c>
    </row>
    <row r="1075" spans="1:7" ht="17.25" x14ac:dyDescent="0.3">
      <c r="A1075" s="22" t="s">
        <v>277</v>
      </c>
      <c r="B1075" s="25" t="s">
        <v>25</v>
      </c>
      <c r="C1075" s="4" t="s">
        <v>337</v>
      </c>
      <c r="D1075" s="3" t="s">
        <v>78</v>
      </c>
      <c r="E1075" s="7">
        <v>4</v>
      </c>
      <c r="F1075" s="5">
        <f>IFERROR(VLOOKUP(D1075, Sheet2!$A:$C, 3, FALSE), 0)</f>
        <v>14999.999999999998</v>
      </c>
      <c r="G1075" s="6">
        <f t="shared" si="17"/>
        <v>59999.999999999993</v>
      </c>
    </row>
    <row r="1076" spans="1:7" ht="17.25" x14ac:dyDescent="0.3">
      <c r="A1076" s="22" t="s">
        <v>277</v>
      </c>
      <c r="B1076" s="22" t="s">
        <v>150</v>
      </c>
      <c r="C1076" s="4" t="s">
        <v>344</v>
      </c>
      <c r="D1076" s="3" t="s">
        <v>156</v>
      </c>
      <c r="E1076" s="7">
        <v>324</v>
      </c>
      <c r="F1076" s="5">
        <f>IFERROR(VLOOKUP(D1076, Sheet2!$A:$C, 3, FALSE), 0)</f>
        <v>3454.545454545454</v>
      </c>
      <c r="G1076" s="6">
        <f t="shared" si="17"/>
        <v>1119272.7272727271</v>
      </c>
    </row>
    <row r="1077" spans="1:7" ht="17.25" x14ac:dyDescent="0.3">
      <c r="A1077" s="23" t="s">
        <v>277</v>
      </c>
      <c r="B1077" s="22" t="s">
        <v>24</v>
      </c>
      <c r="C1077" s="4" t="s">
        <v>341</v>
      </c>
      <c r="D1077" s="4" t="s">
        <v>110</v>
      </c>
      <c r="E1077" s="7">
        <v>14</v>
      </c>
      <c r="F1077" s="5">
        <f>IFERROR(VLOOKUP(D1077, Sheet2!$A:$C, 3, FALSE), 0)</f>
        <v>2500</v>
      </c>
      <c r="G1077" s="6">
        <f t="shared" si="17"/>
        <v>35000</v>
      </c>
    </row>
    <row r="1078" spans="1:7" ht="17.25" x14ac:dyDescent="0.3">
      <c r="A1078" s="23" t="s">
        <v>277</v>
      </c>
      <c r="B1078" s="22" t="s">
        <v>24</v>
      </c>
      <c r="C1078" s="4" t="s">
        <v>341</v>
      </c>
      <c r="D1078" s="4" t="s">
        <v>17</v>
      </c>
      <c r="E1078" s="7">
        <v>41</v>
      </c>
      <c r="F1078" s="5">
        <f>IFERROR(VLOOKUP(D1078, Sheet2!$A:$C, 3, FALSE), 0)</f>
        <v>11700</v>
      </c>
      <c r="G1078" s="6">
        <f t="shared" si="17"/>
        <v>479700</v>
      </c>
    </row>
    <row r="1079" spans="1:7" ht="17.25" x14ac:dyDescent="0.3">
      <c r="A1079" s="23" t="s">
        <v>278</v>
      </c>
      <c r="B1079" s="22" t="s">
        <v>23</v>
      </c>
      <c r="C1079" s="4" t="s">
        <v>344</v>
      </c>
      <c r="D1079" s="3" t="s">
        <v>120</v>
      </c>
      <c r="E1079" s="7">
        <v>35</v>
      </c>
      <c r="F1079" s="5">
        <f>IFERROR(VLOOKUP(D1079, Sheet2!$A:$C, 3, FALSE), 0)</f>
        <v>6272.7272727272721</v>
      </c>
      <c r="G1079" s="6">
        <f t="shared" si="17"/>
        <v>219545.45454545453</v>
      </c>
    </row>
    <row r="1080" spans="1:7" ht="17.25" x14ac:dyDescent="0.3">
      <c r="A1080" s="22" t="s">
        <v>277</v>
      </c>
      <c r="B1080" s="22" t="s">
        <v>23</v>
      </c>
      <c r="C1080" s="4" t="s">
        <v>342</v>
      </c>
      <c r="D1080" s="3" t="s">
        <v>61</v>
      </c>
      <c r="E1080" s="7">
        <v>50</v>
      </c>
      <c r="F1080" s="5">
        <f>IFERROR(VLOOKUP(D1080, Sheet2!$A:$C, 3, FALSE), 0)</f>
        <v>7363.6363636363631</v>
      </c>
      <c r="G1080" s="6">
        <f t="shared" si="17"/>
        <v>368181.81818181818</v>
      </c>
    </row>
    <row r="1081" spans="1:7" ht="17.25" x14ac:dyDescent="0.3">
      <c r="A1081" s="22" t="s">
        <v>277</v>
      </c>
      <c r="B1081" s="22" t="s">
        <v>23</v>
      </c>
      <c r="C1081" s="4" t="s">
        <v>342</v>
      </c>
      <c r="D1081" s="3" t="s">
        <v>61</v>
      </c>
      <c r="E1081" s="7">
        <v>42</v>
      </c>
      <c r="F1081" s="5">
        <f>IFERROR(VLOOKUP(D1081, Sheet2!$A:$C, 3, FALSE), 0)</f>
        <v>7363.6363636363631</v>
      </c>
      <c r="G1081" s="6">
        <f t="shared" si="17"/>
        <v>309272.72727272724</v>
      </c>
    </row>
    <row r="1082" spans="1:7" ht="17.25" x14ac:dyDescent="0.3">
      <c r="A1082" s="22" t="s">
        <v>277</v>
      </c>
      <c r="B1082" s="22" t="s">
        <v>102</v>
      </c>
      <c r="C1082" s="4" t="s">
        <v>344</v>
      </c>
      <c r="D1082" s="11" t="s">
        <v>39</v>
      </c>
      <c r="E1082" s="7">
        <v>104</v>
      </c>
      <c r="F1082" s="5">
        <f>IFERROR(VLOOKUP(D1082, Sheet2!$A:$C, 3, FALSE), 0)</f>
        <v>3863.6363636363635</v>
      </c>
      <c r="G1082" s="6">
        <f t="shared" si="17"/>
        <v>401818.18181818182</v>
      </c>
    </row>
    <row r="1083" spans="1:7" ht="17.25" x14ac:dyDescent="0.3">
      <c r="A1083" s="23" t="s">
        <v>277</v>
      </c>
      <c r="B1083" s="22" t="s">
        <v>11</v>
      </c>
      <c r="C1083" s="4" t="s">
        <v>337</v>
      </c>
      <c r="D1083" s="3" t="s">
        <v>128</v>
      </c>
      <c r="E1083" s="7">
        <v>986</v>
      </c>
      <c r="F1083" s="5">
        <f>IFERROR(VLOOKUP(D1083, Sheet2!$A:$C, 3, FALSE), 0)</f>
        <v>20727.272727272724</v>
      </c>
      <c r="G1083" s="6">
        <f t="shared" si="17"/>
        <v>20437090.909090906</v>
      </c>
    </row>
    <row r="1084" spans="1:7" ht="17.25" x14ac:dyDescent="0.3">
      <c r="A1084" s="22" t="s">
        <v>277</v>
      </c>
      <c r="B1084" s="22" t="s">
        <v>11</v>
      </c>
      <c r="C1084" s="4" t="s">
        <v>344</v>
      </c>
      <c r="D1084" s="3" t="s">
        <v>38</v>
      </c>
      <c r="E1084" s="7">
        <v>453</v>
      </c>
      <c r="F1084" s="5">
        <f>IFERROR(VLOOKUP(D1084, Sheet2!$A:$C, 3, FALSE), 0)</f>
        <v>5909.090909090909</v>
      </c>
      <c r="G1084" s="6">
        <f t="shared" si="17"/>
        <v>2676818.1818181816</v>
      </c>
    </row>
    <row r="1085" spans="1:7" ht="17.25" x14ac:dyDescent="0.3">
      <c r="A1085" s="23" t="s">
        <v>277</v>
      </c>
      <c r="B1085" s="22" t="s">
        <v>11</v>
      </c>
      <c r="C1085" s="4" t="s">
        <v>337</v>
      </c>
      <c r="D1085" s="3" t="s">
        <v>12</v>
      </c>
      <c r="E1085" s="7">
        <v>656</v>
      </c>
      <c r="F1085" s="5">
        <f>IFERROR(VLOOKUP(D1085, Sheet2!$A:$C, 3, FALSE), 0)</f>
        <v>26363.63636363636</v>
      </c>
      <c r="G1085" s="6">
        <f t="shared" si="17"/>
        <v>17294545.454545453</v>
      </c>
    </row>
    <row r="1086" spans="1:7" ht="17.25" x14ac:dyDescent="0.3">
      <c r="A1086" s="23" t="s">
        <v>277</v>
      </c>
      <c r="B1086" s="22" t="s">
        <v>33</v>
      </c>
      <c r="C1086" s="4" t="s">
        <v>344</v>
      </c>
      <c r="D1086" s="3" t="s">
        <v>44</v>
      </c>
      <c r="E1086" s="7">
        <v>162</v>
      </c>
      <c r="F1086" s="5">
        <f>IFERROR(VLOOKUP(D1086, Sheet2!$A:$C, 3, FALSE), 0)</f>
        <v>5909.090909090909</v>
      </c>
      <c r="G1086" s="6">
        <f t="shared" si="17"/>
        <v>957272.72727272729</v>
      </c>
    </row>
    <row r="1087" spans="1:7" ht="17.25" x14ac:dyDescent="0.3">
      <c r="A1087" s="22" t="s">
        <v>277</v>
      </c>
      <c r="B1087" s="22" t="s">
        <v>33</v>
      </c>
      <c r="C1087" s="4" t="s">
        <v>341</v>
      </c>
      <c r="D1087" s="4" t="s">
        <v>110</v>
      </c>
      <c r="E1087" s="7">
        <v>65</v>
      </c>
      <c r="F1087" s="5">
        <f>IFERROR(VLOOKUP(D1087, Sheet2!$A:$C, 3, FALSE), 0)</f>
        <v>2500</v>
      </c>
      <c r="G1087" s="6">
        <f t="shared" si="17"/>
        <v>162500</v>
      </c>
    </row>
    <row r="1088" spans="1:7" ht="17.25" x14ac:dyDescent="0.3">
      <c r="A1088" s="22" t="s">
        <v>277</v>
      </c>
      <c r="B1088" s="22" t="s">
        <v>33</v>
      </c>
      <c r="C1088" s="4" t="s">
        <v>341</v>
      </c>
      <c r="D1088" s="4" t="s">
        <v>17</v>
      </c>
      <c r="E1088" s="7">
        <v>74</v>
      </c>
      <c r="F1088" s="5">
        <f>IFERROR(VLOOKUP(D1088, Sheet2!$A:$C, 3, FALSE), 0)</f>
        <v>11700</v>
      </c>
      <c r="G1088" s="6">
        <f t="shared" si="17"/>
        <v>865800</v>
      </c>
    </row>
    <row r="1089" spans="1:7" ht="17.25" x14ac:dyDescent="0.3">
      <c r="A1089" s="22" t="s">
        <v>279</v>
      </c>
      <c r="B1089" s="22" t="s">
        <v>69</v>
      </c>
      <c r="C1089" s="4" t="s">
        <v>342</v>
      </c>
      <c r="D1089" s="3" t="s">
        <v>35</v>
      </c>
      <c r="E1089" s="7">
        <v>363</v>
      </c>
      <c r="F1089" s="5">
        <f>IFERROR(VLOOKUP(D1089, Sheet2!$A:$C, 3, FALSE), 0)</f>
        <v>8363.6363636363621</v>
      </c>
      <c r="G1089" s="6">
        <f t="shared" si="17"/>
        <v>3035999.9999999995</v>
      </c>
    </row>
    <row r="1090" spans="1:7" ht="17.25" x14ac:dyDescent="0.3">
      <c r="A1090" s="23" t="s">
        <v>279</v>
      </c>
      <c r="B1090" s="22" t="s">
        <v>69</v>
      </c>
      <c r="C1090" s="4" t="s">
        <v>344</v>
      </c>
      <c r="D1090" s="3" t="s">
        <v>162</v>
      </c>
      <c r="E1090" s="7">
        <v>630</v>
      </c>
      <c r="F1090" s="5">
        <f>IFERROR(VLOOKUP(D1090, Sheet2!$A:$C, 3, FALSE), 0)</f>
        <v>6318.181818181818</v>
      </c>
      <c r="G1090" s="6">
        <f t="shared" si="17"/>
        <v>3980454.5454545454</v>
      </c>
    </row>
    <row r="1091" spans="1:7" ht="17.25" x14ac:dyDescent="0.3">
      <c r="A1091" s="22" t="s">
        <v>279</v>
      </c>
      <c r="B1091" s="22" t="s">
        <v>25</v>
      </c>
      <c r="C1091" s="4" t="s">
        <v>344</v>
      </c>
      <c r="D1091" s="3" t="s">
        <v>15</v>
      </c>
      <c r="E1091" s="7">
        <v>372</v>
      </c>
      <c r="F1091" s="5">
        <f>IFERROR(VLOOKUP(D1091, Sheet2!$A:$C, 3, FALSE), 0)</f>
        <v>3863.6363636363635</v>
      </c>
      <c r="G1091" s="6">
        <f t="shared" si="17"/>
        <v>1437272.7272727273</v>
      </c>
    </row>
    <row r="1092" spans="1:7" ht="17.25" x14ac:dyDescent="0.3">
      <c r="A1092" s="22" t="s">
        <v>279</v>
      </c>
      <c r="B1092" s="22" t="s">
        <v>23</v>
      </c>
      <c r="C1092" s="4" t="s">
        <v>342</v>
      </c>
      <c r="D1092" s="3" t="s">
        <v>61</v>
      </c>
      <c r="E1092" s="7">
        <v>30</v>
      </c>
      <c r="F1092" s="5">
        <f>IFERROR(VLOOKUP(D1092, Sheet2!$A:$C, 3, FALSE), 0)</f>
        <v>7363.6363636363631</v>
      </c>
      <c r="G1092" s="6">
        <f t="shared" si="17"/>
        <v>220909.09090909088</v>
      </c>
    </row>
    <row r="1093" spans="1:7" ht="17.25" x14ac:dyDescent="0.3">
      <c r="A1093" s="22" t="s">
        <v>279</v>
      </c>
      <c r="B1093" s="22" t="s">
        <v>29</v>
      </c>
      <c r="C1093" s="4" t="s">
        <v>215</v>
      </c>
      <c r="D1093" s="11" t="s">
        <v>264</v>
      </c>
      <c r="E1093" s="7">
        <v>709</v>
      </c>
      <c r="F1093" s="5">
        <f>IFERROR(VLOOKUP(D1093, Sheet2!$A:$C, 3, FALSE), 0)</f>
        <v>4454.545454545454</v>
      </c>
      <c r="G1093" s="6">
        <f t="shared" si="17"/>
        <v>3158272.7272727271</v>
      </c>
    </row>
    <row r="1094" spans="1:7" ht="17.25" x14ac:dyDescent="0.3">
      <c r="A1094" s="22" t="s">
        <v>279</v>
      </c>
      <c r="B1094" s="22" t="s">
        <v>16</v>
      </c>
      <c r="C1094" s="4" t="s">
        <v>338</v>
      </c>
      <c r="D1094" s="3" t="s">
        <v>36</v>
      </c>
      <c r="E1094" s="7">
        <v>998</v>
      </c>
      <c r="F1094" s="5">
        <f>IFERROR(VLOOKUP(D1094, Sheet2!$A:$C, 3, FALSE), 0)</f>
        <v>7899.9999999999991</v>
      </c>
      <c r="G1094" s="6">
        <f t="shared" si="17"/>
        <v>7884199.9999999991</v>
      </c>
    </row>
    <row r="1095" spans="1:7" ht="17.25" x14ac:dyDescent="0.3">
      <c r="A1095" s="23" t="s">
        <v>279</v>
      </c>
      <c r="B1095" s="22" t="s">
        <v>16</v>
      </c>
      <c r="C1095" s="4" t="s">
        <v>339</v>
      </c>
      <c r="D1095" s="3" t="s">
        <v>80</v>
      </c>
      <c r="E1095" s="7">
        <v>691</v>
      </c>
      <c r="F1095" s="5">
        <f>IFERROR(VLOOKUP(D1095, Sheet2!$A:$C, 3, FALSE), 0)</f>
        <v>18272.727272727272</v>
      </c>
      <c r="G1095" s="6">
        <f t="shared" si="17"/>
        <v>12626454.545454545</v>
      </c>
    </row>
    <row r="1096" spans="1:7" ht="17.25" x14ac:dyDescent="0.3">
      <c r="A1096" s="23" t="s">
        <v>279</v>
      </c>
      <c r="B1096" s="22" t="s">
        <v>27</v>
      </c>
      <c r="C1096" s="4" t="s">
        <v>215</v>
      </c>
      <c r="D1096" s="3" t="s">
        <v>264</v>
      </c>
      <c r="E1096" s="7">
        <v>782</v>
      </c>
      <c r="F1096" s="5">
        <f>IFERROR(VLOOKUP(D1096, Sheet2!$A:$C, 3, FALSE), 0)</f>
        <v>4454.545454545454</v>
      </c>
      <c r="G1096" s="6">
        <f t="shared" si="17"/>
        <v>3483454.5454545449</v>
      </c>
    </row>
    <row r="1097" spans="1:7" ht="17.25" x14ac:dyDescent="0.3">
      <c r="A1097" s="22" t="s">
        <v>279</v>
      </c>
      <c r="B1097" s="22" t="s">
        <v>8</v>
      </c>
      <c r="C1097" s="4" t="s">
        <v>344</v>
      </c>
      <c r="D1097" s="3" t="s">
        <v>22</v>
      </c>
      <c r="E1097" s="7">
        <v>249</v>
      </c>
      <c r="F1097" s="5">
        <f>IFERROR(VLOOKUP(D1097, Sheet2!$A:$C, 3, FALSE), 0)</f>
        <v>5999.9999999999991</v>
      </c>
      <c r="G1097" s="6">
        <f t="shared" si="17"/>
        <v>1493999.9999999998</v>
      </c>
    </row>
    <row r="1098" spans="1:7" ht="17.25" x14ac:dyDescent="0.3">
      <c r="A1098" s="22" t="s">
        <v>279</v>
      </c>
      <c r="B1098" s="22" t="s">
        <v>33</v>
      </c>
      <c r="C1098" s="4" t="s">
        <v>342</v>
      </c>
      <c r="D1098" s="3" t="s">
        <v>61</v>
      </c>
      <c r="E1098" s="7">
        <v>64</v>
      </c>
      <c r="F1098" s="5">
        <f>IFERROR(VLOOKUP(D1098, Sheet2!$A:$C, 3, FALSE), 0)</f>
        <v>7363.6363636363631</v>
      </c>
      <c r="G1098" s="6">
        <f t="shared" si="17"/>
        <v>471272.72727272724</v>
      </c>
    </row>
    <row r="1099" spans="1:7" ht="17.25" x14ac:dyDescent="0.3">
      <c r="A1099" s="22" t="s">
        <v>279</v>
      </c>
      <c r="B1099" s="22" t="s">
        <v>33</v>
      </c>
      <c r="C1099" s="4" t="s">
        <v>341</v>
      </c>
      <c r="D1099" s="4" t="s">
        <v>17</v>
      </c>
      <c r="E1099" s="7">
        <v>127</v>
      </c>
      <c r="F1099" s="5">
        <f>IFERROR(VLOOKUP(D1099, Sheet2!$A:$C, 3, FALSE), 0)</f>
        <v>11700</v>
      </c>
      <c r="G1099" s="6">
        <f t="shared" si="17"/>
        <v>1485900</v>
      </c>
    </row>
    <row r="1100" spans="1:7" ht="17.25" x14ac:dyDescent="0.3">
      <c r="A1100" s="23" t="s">
        <v>279</v>
      </c>
      <c r="B1100" s="22" t="s">
        <v>95</v>
      </c>
      <c r="C1100" s="4" t="s">
        <v>344</v>
      </c>
      <c r="D1100" s="3" t="s">
        <v>53</v>
      </c>
      <c r="E1100" s="7">
        <v>606</v>
      </c>
      <c r="F1100" s="5">
        <f>IFERROR(VLOOKUP(D1100, Sheet2!$A:$C, 3, FALSE), 0)</f>
        <v>5818.181818181818</v>
      </c>
      <c r="G1100" s="6">
        <f t="shared" si="17"/>
        <v>3525818.1818181816</v>
      </c>
    </row>
    <row r="1101" spans="1:7" ht="17.25" x14ac:dyDescent="0.3">
      <c r="A1101" s="22" t="s">
        <v>279</v>
      </c>
      <c r="B1101" s="22" t="s">
        <v>18</v>
      </c>
      <c r="C1101" s="4" t="s">
        <v>337</v>
      </c>
      <c r="D1101" s="3" t="s">
        <v>6</v>
      </c>
      <c r="E1101" s="7">
        <v>825</v>
      </c>
      <c r="F1101" s="5">
        <f>IFERROR(VLOOKUP(D1101, Sheet2!$A:$C, 3, FALSE), 0)</f>
        <v>14999.999999999998</v>
      </c>
      <c r="G1101" s="6">
        <f t="shared" si="17"/>
        <v>12374999.999999998</v>
      </c>
    </row>
    <row r="1102" spans="1:7" ht="17.25" x14ac:dyDescent="0.3">
      <c r="A1102" s="23" t="s">
        <v>280</v>
      </c>
      <c r="B1102" s="22" t="s">
        <v>99</v>
      </c>
      <c r="C1102" s="4" t="s">
        <v>338</v>
      </c>
      <c r="D1102" s="11" t="s">
        <v>28</v>
      </c>
      <c r="E1102" s="7">
        <v>511</v>
      </c>
      <c r="F1102" s="5">
        <f>IFERROR(VLOOKUP(D1102, Sheet2!$A:$C, 3, FALSE), 0)</f>
        <v>7899.9999999999991</v>
      </c>
      <c r="G1102" s="6">
        <f t="shared" si="17"/>
        <v>4036899.9999999995</v>
      </c>
    </row>
    <row r="1103" spans="1:7" ht="17.25" x14ac:dyDescent="0.3">
      <c r="A1103" s="22" t="s">
        <v>280</v>
      </c>
      <c r="B1103" s="22" t="s">
        <v>24</v>
      </c>
      <c r="C1103" s="4" t="s">
        <v>341</v>
      </c>
      <c r="D1103" s="4" t="s">
        <v>68</v>
      </c>
      <c r="E1103" s="7">
        <v>66</v>
      </c>
      <c r="F1103" s="5">
        <f>IFERROR(VLOOKUP(D1103, Sheet2!$A:$C, 3, FALSE), 0)</f>
        <v>13400</v>
      </c>
      <c r="G1103" s="6">
        <f t="shared" si="17"/>
        <v>884400</v>
      </c>
    </row>
    <row r="1104" spans="1:7" ht="17.25" x14ac:dyDescent="0.3">
      <c r="A1104" s="23" t="s">
        <v>280</v>
      </c>
      <c r="B1104" s="22" t="s">
        <v>24</v>
      </c>
      <c r="C1104" s="4" t="s">
        <v>341</v>
      </c>
      <c r="D1104" s="4" t="s">
        <v>110</v>
      </c>
      <c r="E1104" s="7">
        <v>16</v>
      </c>
      <c r="F1104" s="5">
        <f>IFERROR(VLOOKUP(D1104, Sheet2!$A:$C, 3, FALSE), 0)</f>
        <v>2500</v>
      </c>
      <c r="G1104" s="6">
        <f t="shared" si="17"/>
        <v>40000</v>
      </c>
    </row>
    <row r="1105" spans="1:7" ht="17.25" x14ac:dyDescent="0.3">
      <c r="A1105" s="22" t="s">
        <v>280</v>
      </c>
      <c r="B1105" s="22" t="s">
        <v>24</v>
      </c>
      <c r="C1105" s="4" t="s">
        <v>344</v>
      </c>
      <c r="D1105" s="3" t="s">
        <v>156</v>
      </c>
      <c r="E1105" s="7">
        <v>73</v>
      </c>
      <c r="F1105" s="5">
        <f>IFERROR(VLOOKUP(D1105, Sheet2!$A:$C, 3, FALSE), 0)</f>
        <v>3454.545454545454</v>
      </c>
      <c r="G1105" s="6">
        <f t="shared" si="17"/>
        <v>252181.81818181815</v>
      </c>
    </row>
    <row r="1106" spans="1:7" ht="17.25" x14ac:dyDescent="0.3">
      <c r="A1106" s="23" t="s">
        <v>280</v>
      </c>
      <c r="B1106" s="22" t="s">
        <v>24</v>
      </c>
      <c r="C1106" s="4" t="s">
        <v>341</v>
      </c>
      <c r="D1106" s="4" t="s">
        <v>17</v>
      </c>
      <c r="E1106" s="7">
        <v>46</v>
      </c>
      <c r="F1106" s="5">
        <f>IFERROR(VLOOKUP(D1106, Sheet2!$A:$C, 3, FALSE), 0)</f>
        <v>11700</v>
      </c>
      <c r="G1106" s="6">
        <f t="shared" si="17"/>
        <v>538200</v>
      </c>
    </row>
    <row r="1107" spans="1:7" ht="17.25" x14ac:dyDescent="0.3">
      <c r="A1107" s="22" t="s">
        <v>280</v>
      </c>
      <c r="B1107" s="22" t="s">
        <v>43</v>
      </c>
      <c r="C1107" s="4" t="s">
        <v>344</v>
      </c>
      <c r="D1107" s="3" t="s">
        <v>56</v>
      </c>
      <c r="E1107" s="7">
        <v>231</v>
      </c>
      <c r="F1107" s="5">
        <f>IFERROR(VLOOKUP(D1107, Sheet2!$A:$C, 3, FALSE), 0)</f>
        <v>5545.454545454545</v>
      </c>
      <c r="G1107" s="6">
        <f t="shared" si="17"/>
        <v>1281000</v>
      </c>
    </row>
    <row r="1108" spans="1:7" ht="17.25" x14ac:dyDescent="0.3">
      <c r="A1108" s="22" t="s">
        <v>280</v>
      </c>
      <c r="B1108" s="22" t="s">
        <v>60</v>
      </c>
      <c r="C1108" s="4" t="s">
        <v>337</v>
      </c>
      <c r="D1108" s="3" t="s">
        <v>128</v>
      </c>
      <c r="E1108" s="7">
        <v>357</v>
      </c>
      <c r="F1108" s="5">
        <f>IFERROR(VLOOKUP(D1108, Sheet2!$A:$C, 3, FALSE), 0)</f>
        <v>20727.272727272724</v>
      </c>
      <c r="G1108" s="6">
        <f t="shared" si="17"/>
        <v>7399636.3636363624</v>
      </c>
    </row>
    <row r="1109" spans="1:7" ht="17.25" x14ac:dyDescent="0.3">
      <c r="A1109" s="23" t="s">
        <v>281</v>
      </c>
      <c r="B1109" s="22" t="s">
        <v>19</v>
      </c>
      <c r="C1109" s="4" t="s">
        <v>344</v>
      </c>
      <c r="D1109" s="3" t="s">
        <v>265</v>
      </c>
      <c r="E1109" s="7">
        <v>553</v>
      </c>
      <c r="F1109" s="5">
        <f>IFERROR(VLOOKUP(D1109, Sheet2!$A:$C, 3, FALSE), 0)</f>
        <v>2818.181818181818</v>
      </c>
      <c r="G1109" s="6">
        <f t="shared" si="17"/>
        <v>1558454.5454545454</v>
      </c>
    </row>
    <row r="1110" spans="1:7" ht="17.25" x14ac:dyDescent="0.3">
      <c r="A1110" s="23" t="s">
        <v>281</v>
      </c>
      <c r="B1110" s="22" t="s">
        <v>19</v>
      </c>
      <c r="C1110" s="4" t="s">
        <v>344</v>
      </c>
      <c r="D1110" s="3" t="s">
        <v>154</v>
      </c>
      <c r="E1110" s="7">
        <v>566</v>
      </c>
      <c r="F1110" s="5">
        <f>IFERROR(VLOOKUP(D1110, Sheet2!$A:$C, 3, FALSE), 0)</f>
        <v>2999.9999999999995</v>
      </c>
      <c r="G1110" s="6">
        <f t="shared" si="17"/>
        <v>1697999.9999999998</v>
      </c>
    </row>
    <row r="1111" spans="1:7" ht="17.25" x14ac:dyDescent="0.3">
      <c r="A1111" s="22" t="s">
        <v>281</v>
      </c>
      <c r="B1111" s="22" t="s">
        <v>46</v>
      </c>
      <c r="C1111" s="4" t="s">
        <v>344</v>
      </c>
      <c r="D1111" s="3" t="s">
        <v>56</v>
      </c>
      <c r="E1111" s="7">
        <v>373</v>
      </c>
      <c r="F1111" s="5">
        <f>IFERROR(VLOOKUP(D1111, Sheet2!$A:$C, 3, FALSE), 0)</f>
        <v>5545.454545454545</v>
      </c>
      <c r="G1111" s="6">
        <f t="shared" si="17"/>
        <v>2068454.5454545454</v>
      </c>
    </row>
    <row r="1112" spans="1:7" ht="17.25" x14ac:dyDescent="0.3">
      <c r="A1112" s="23" t="s">
        <v>281</v>
      </c>
      <c r="B1112" s="22" t="s">
        <v>69</v>
      </c>
      <c r="C1112" s="4" t="s">
        <v>342</v>
      </c>
      <c r="D1112" s="3" t="s">
        <v>35</v>
      </c>
      <c r="E1112" s="7">
        <v>323</v>
      </c>
      <c r="F1112" s="5">
        <f>IFERROR(VLOOKUP(D1112, Sheet2!$A:$C, 3, FALSE), 0)</f>
        <v>8363.6363636363621</v>
      </c>
      <c r="G1112" s="6">
        <f t="shared" si="17"/>
        <v>2701454.5454545449</v>
      </c>
    </row>
    <row r="1113" spans="1:7" ht="17.25" x14ac:dyDescent="0.3">
      <c r="A1113" s="22" t="s">
        <v>281</v>
      </c>
      <c r="B1113" s="22" t="s">
        <v>69</v>
      </c>
      <c r="C1113" s="4" t="s">
        <v>337</v>
      </c>
      <c r="D1113" s="3" t="s">
        <v>94</v>
      </c>
      <c r="E1113" s="7">
        <v>1387</v>
      </c>
      <c r="F1113" s="5">
        <f>IFERROR(VLOOKUP(D1113, Sheet2!$A:$C, 3, FALSE), 0)</f>
        <v>14181.81818181818</v>
      </c>
      <c r="G1113" s="6">
        <f t="shared" si="17"/>
        <v>19670181.818181816</v>
      </c>
    </row>
    <row r="1114" spans="1:7" ht="17.25" x14ac:dyDescent="0.3">
      <c r="A1114" s="22" t="s">
        <v>281</v>
      </c>
      <c r="B1114" s="22" t="s">
        <v>75</v>
      </c>
      <c r="C1114" s="4" t="s">
        <v>343</v>
      </c>
      <c r="D1114" s="3" t="s">
        <v>135</v>
      </c>
      <c r="E1114" s="7">
        <v>2</v>
      </c>
      <c r="F1114" s="5">
        <f>IFERROR(VLOOKUP(D1114, Sheet2!$A:$C, 3, FALSE), 0)</f>
        <v>13999.999999999998</v>
      </c>
      <c r="G1114" s="6">
        <f t="shared" si="17"/>
        <v>27999.999999999996</v>
      </c>
    </row>
    <row r="1115" spans="1:7" ht="17.25" x14ac:dyDescent="0.3">
      <c r="A1115" s="23" t="s">
        <v>281</v>
      </c>
      <c r="B1115" s="22" t="s">
        <v>63</v>
      </c>
      <c r="C1115" s="4" t="s">
        <v>344</v>
      </c>
      <c r="D1115" s="3" t="s">
        <v>15</v>
      </c>
      <c r="E1115" s="7">
        <v>338</v>
      </c>
      <c r="F1115" s="5">
        <f>IFERROR(VLOOKUP(D1115, Sheet2!$A:$C, 3, FALSE), 0)</f>
        <v>3863.6363636363635</v>
      </c>
      <c r="G1115" s="6">
        <f t="shared" si="17"/>
        <v>1305909.0909090908</v>
      </c>
    </row>
    <row r="1116" spans="1:7" ht="17.25" x14ac:dyDescent="0.3">
      <c r="A1116" s="22" t="s">
        <v>281</v>
      </c>
      <c r="B1116" s="22" t="s">
        <v>33</v>
      </c>
      <c r="C1116" s="4" t="s">
        <v>342</v>
      </c>
      <c r="D1116" s="3" t="s">
        <v>35</v>
      </c>
      <c r="E1116" s="7">
        <v>119</v>
      </c>
      <c r="F1116" s="5">
        <f>IFERROR(VLOOKUP(D1116, Sheet2!$A:$C, 3, FALSE), 0)</f>
        <v>8363.6363636363621</v>
      </c>
      <c r="G1116" s="6">
        <f t="shared" ref="G1116:G1179" si="18">E1116*F1116</f>
        <v>995272.72727272706</v>
      </c>
    </row>
    <row r="1117" spans="1:7" ht="17.25" x14ac:dyDescent="0.3">
      <c r="A1117" s="23" t="s">
        <v>281</v>
      </c>
      <c r="B1117" s="22" t="s">
        <v>33</v>
      </c>
      <c r="C1117" s="4" t="s">
        <v>341</v>
      </c>
      <c r="D1117" s="4" t="s">
        <v>110</v>
      </c>
      <c r="E1117" s="7">
        <v>65</v>
      </c>
      <c r="F1117" s="5">
        <f>IFERROR(VLOOKUP(D1117, Sheet2!$A:$C, 3, FALSE), 0)</f>
        <v>2500</v>
      </c>
      <c r="G1117" s="6">
        <f t="shared" si="18"/>
        <v>162500</v>
      </c>
    </row>
    <row r="1118" spans="1:7" ht="17.25" x14ac:dyDescent="0.3">
      <c r="A1118" s="22" t="s">
        <v>281</v>
      </c>
      <c r="B1118" s="22" t="s">
        <v>33</v>
      </c>
      <c r="C1118" s="4" t="s">
        <v>341</v>
      </c>
      <c r="D1118" s="4" t="s">
        <v>17</v>
      </c>
      <c r="E1118" s="7">
        <v>109</v>
      </c>
      <c r="F1118" s="5">
        <f>IFERROR(VLOOKUP(D1118, Sheet2!$A:$C, 3, FALSE), 0)</f>
        <v>11700</v>
      </c>
      <c r="G1118" s="6">
        <f t="shared" si="18"/>
        <v>1275300</v>
      </c>
    </row>
    <row r="1119" spans="1:7" ht="17.25" x14ac:dyDescent="0.3">
      <c r="A1119" s="22" t="s">
        <v>282</v>
      </c>
      <c r="B1119" s="22" t="s">
        <v>24</v>
      </c>
      <c r="C1119" s="4" t="s">
        <v>341</v>
      </c>
      <c r="D1119" s="4" t="s">
        <v>110</v>
      </c>
      <c r="E1119" s="7">
        <v>20</v>
      </c>
      <c r="F1119" s="5">
        <f>IFERROR(VLOOKUP(D1119, Sheet2!$A:$C, 3, FALSE), 0)</f>
        <v>2500</v>
      </c>
      <c r="G1119" s="6">
        <f t="shared" si="18"/>
        <v>50000</v>
      </c>
    </row>
    <row r="1120" spans="1:7" ht="17.25" x14ac:dyDescent="0.3">
      <c r="A1120" s="23" t="s">
        <v>282</v>
      </c>
      <c r="B1120" s="22" t="s">
        <v>24</v>
      </c>
      <c r="C1120" s="4" t="s">
        <v>344</v>
      </c>
      <c r="D1120" s="3" t="s">
        <v>22</v>
      </c>
      <c r="E1120" s="7">
        <v>131</v>
      </c>
      <c r="F1120" s="5">
        <f>IFERROR(VLOOKUP(D1120, Sheet2!$A:$C, 3, FALSE), 0)</f>
        <v>5999.9999999999991</v>
      </c>
      <c r="G1120" s="6">
        <f t="shared" si="18"/>
        <v>785999.99999999988</v>
      </c>
    </row>
    <row r="1121" spans="1:7" ht="17.25" x14ac:dyDescent="0.3">
      <c r="A1121" s="22" t="s">
        <v>282</v>
      </c>
      <c r="B1121" s="22" t="s">
        <v>24</v>
      </c>
      <c r="C1121" s="4" t="s">
        <v>341</v>
      </c>
      <c r="D1121" s="4" t="s">
        <v>17</v>
      </c>
      <c r="E1121" s="7">
        <v>72</v>
      </c>
      <c r="F1121" s="5">
        <f>IFERROR(VLOOKUP(D1121, Sheet2!$A:$C, 3, FALSE), 0)</f>
        <v>11700</v>
      </c>
      <c r="G1121" s="6">
        <f t="shared" si="18"/>
        <v>842400</v>
      </c>
    </row>
    <row r="1122" spans="1:7" ht="17.25" x14ac:dyDescent="0.3">
      <c r="A1122" s="22" t="s">
        <v>282</v>
      </c>
      <c r="B1122" s="22" t="s">
        <v>23</v>
      </c>
      <c r="C1122" s="4" t="s">
        <v>342</v>
      </c>
      <c r="D1122" s="3" t="s">
        <v>61</v>
      </c>
      <c r="E1122" s="7">
        <v>70</v>
      </c>
      <c r="F1122" s="5">
        <f>IFERROR(VLOOKUP(D1122, Sheet2!$A:$C, 3, FALSE), 0)</f>
        <v>7363.6363636363631</v>
      </c>
      <c r="G1122" s="6">
        <f t="shared" si="18"/>
        <v>515454.54545454541</v>
      </c>
    </row>
    <row r="1123" spans="1:7" ht="17.25" x14ac:dyDescent="0.3">
      <c r="A1123" s="22" t="s">
        <v>282</v>
      </c>
      <c r="B1123" s="22" t="s">
        <v>23</v>
      </c>
      <c r="C1123" s="4" t="s">
        <v>344</v>
      </c>
      <c r="D1123" s="3" t="s">
        <v>120</v>
      </c>
      <c r="E1123" s="7">
        <v>134</v>
      </c>
      <c r="F1123" s="5">
        <f>IFERROR(VLOOKUP(D1123, Sheet2!$A:$C, 3, FALSE), 0)</f>
        <v>6272.7272727272721</v>
      </c>
      <c r="G1123" s="6">
        <f t="shared" si="18"/>
        <v>840545.45454545447</v>
      </c>
    </row>
    <row r="1124" spans="1:7" ht="17.25" x14ac:dyDescent="0.3">
      <c r="A1124" s="22" t="s">
        <v>282</v>
      </c>
      <c r="B1124" s="22" t="s">
        <v>23</v>
      </c>
      <c r="C1124" s="4" t="s">
        <v>342</v>
      </c>
      <c r="D1124" s="3" t="s">
        <v>61</v>
      </c>
      <c r="E1124" s="7">
        <v>68</v>
      </c>
      <c r="F1124" s="5">
        <f>IFERROR(VLOOKUP(D1124, Sheet2!$A:$C, 3, FALSE), 0)</f>
        <v>7363.6363636363631</v>
      </c>
      <c r="G1124" s="6">
        <f t="shared" si="18"/>
        <v>500727.27272727271</v>
      </c>
    </row>
    <row r="1125" spans="1:7" ht="17.25" x14ac:dyDescent="0.3">
      <c r="A1125" s="22" t="s">
        <v>282</v>
      </c>
      <c r="B1125" s="22" t="s">
        <v>23</v>
      </c>
      <c r="C1125" s="4" t="s">
        <v>344</v>
      </c>
      <c r="D1125" s="3" t="s">
        <v>120</v>
      </c>
      <c r="E1125" s="7">
        <v>134</v>
      </c>
      <c r="F1125" s="5">
        <f>IFERROR(VLOOKUP(D1125, Sheet2!$A:$C, 3, FALSE), 0)</f>
        <v>6272.7272727272721</v>
      </c>
      <c r="G1125" s="6">
        <f t="shared" si="18"/>
        <v>840545.45454545447</v>
      </c>
    </row>
    <row r="1126" spans="1:7" ht="17.25" x14ac:dyDescent="0.3">
      <c r="A1126" s="22" t="s">
        <v>282</v>
      </c>
      <c r="B1126" s="22" t="s">
        <v>43</v>
      </c>
      <c r="C1126" s="4" t="s">
        <v>344</v>
      </c>
      <c r="D1126" s="3" t="s">
        <v>56</v>
      </c>
      <c r="E1126" s="7">
        <v>59</v>
      </c>
      <c r="F1126" s="5">
        <f>IFERROR(VLOOKUP(D1126, Sheet2!$A:$C, 3, FALSE), 0)</f>
        <v>5545.454545454545</v>
      </c>
      <c r="G1126" s="6">
        <f t="shared" si="18"/>
        <v>327181.81818181818</v>
      </c>
    </row>
    <row r="1127" spans="1:7" ht="17.25" x14ac:dyDescent="0.3">
      <c r="A1127" s="22" t="s">
        <v>282</v>
      </c>
      <c r="B1127" s="22" t="s">
        <v>60</v>
      </c>
      <c r="C1127" s="4" t="s">
        <v>338</v>
      </c>
      <c r="D1127" s="3" t="s">
        <v>36</v>
      </c>
      <c r="E1127" s="7">
        <v>257</v>
      </c>
      <c r="F1127" s="5">
        <f>IFERROR(VLOOKUP(D1127, Sheet2!$A:$C, 3, FALSE), 0)</f>
        <v>7899.9999999999991</v>
      </c>
      <c r="G1127" s="6">
        <f t="shared" si="18"/>
        <v>2030299.9999999998</v>
      </c>
    </row>
    <row r="1128" spans="1:7" ht="17.25" x14ac:dyDescent="0.3">
      <c r="A1128" s="23" t="s">
        <v>283</v>
      </c>
      <c r="B1128" s="22" t="s">
        <v>66</v>
      </c>
      <c r="C1128" s="4" t="s">
        <v>338</v>
      </c>
      <c r="D1128" s="3" t="s">
        <v>54</v>
      </c>
      <c r="E1128" s="7">
        <v>670</v>
      </c>
      <c r="F1128" s="5">
        <f>IFERROR(VLOOKUP(D1128, Sheet2!$A:$C, 3, FALSE), 0)</f>
        <v>7899.9999999999991</v>
      </c>
      <c r="G1128" s="6">
        <f t="shared" si="18"/>
        <v>5292999.9999999991</v>
      </c>
    </row>
    <row r="1129" spans="1:7" ht="17.25" x14ac:dyDescent="0.3">
      <c r="A1129" s="23" t="s">
        <v>283</v>
      </c>
      <c r="B1129" s="22" t="s">
        <v>66</v>
      </c>
      <c r="C1129" s="4" t="s">
        <v>344</v>
      </c>
      <c r="D1129" s="3" t="s">
        <v>59</v>
      </c>
      <c r="E1129" s="7">
        <v>333</v>
      </c>
      <c r="F1129" s="5">
        <f>IFERROR(VLOOKUP(D1129, Sheet2!$A:$C, 3, FALSE), 0)</f>
        <v>4681.8181818181811</v>
      </c>
      <c r="G1129" s="6">
        <f t="shared" si="18"/>
        <v>1559045.4545454544</v>
      </c>
    </row>
    <row r="1130" spans="1:7" ht="17.25" x14ac:dyDescent="0.3">
      <c r="A1130" s="22" t="s">
        <v>283</v>
      </c>
      <c r="B1130" s="22" t="s">
        <v>21</v>
      </c>
      <c r="C1130" s="4" t="s">
        <v>339</v>
      </c>
      <c r="D1130" s="4" t="s">
        <v>76</v>
      </c>
      <c r="E1130" s="7">
        <v>400</v>
      </c>
      <c r="F1130" s="5">
        <f>IFERROR(VLOOKUP(D1130, Sheet2!$A:$C, 3, FALSE), 0)</f>
        <v>8636.363636363636</v>
      </c>
      <c r="G1130" s="6">
        <f t="shared" si="18"/>
        <v>3454545.4545454546</v>
      </c>
    </row>
    <row r="1131" spans="1:7" ht="17.25" x14ac:dyDescent="0.3">
      <c r="A1131" s="22" t="s">
        <v>283</v>
      </c>
      <c r="B1131" s="22" t="s">
        <v>69</v>
      </c>
      <c r="C1131" s="4" t="s">
        <v>337</v>
      </c>
      <c r="D1131" s="3" t="s">
        <v>184</v>
      </c>
      <c r="E1131" s="7">
        <v>853</v>
      </c>
      <c r="F1131" s="5">
        <f>IFERROR(VLOOKUP(D1131, Sheet2!$A:$C, 3, FALSE), 0)</f>
        <v>7199.9999999999991</v>
      </c>
      <c r="G1131" s="6">
        <f t="shared" si="18"/>
        <v>6141599.9999999991</v>
      </c>
    </row>
    <row r="1132" spans="1:7" ht="17.25" x14ac:dyDescent="0.3">
      <c r="A1132" s="22" t="s">
        <v>283</v>
      </c>
      <c r="B1132" s="22" t="s">
        <v>24</v>
      </c>
      <c r="C1132" s="4" t="s">
        <v>341</v>
      </c>
      <c r="D1132" s="4" t="s">
        <v>68</v>
      </c>
      <c r="E1132" s="7">
        <v>69</v>
      </c>
      <c r="F1132" s="5">
        <f>IFERROR(VLOOKUP(D1132, Sheet2!$A:$C, 3, FALSE), 0)</f>
        <v>13400</v>
      </c>
      <c r="G1132" s="6">
        <f t="shared" si="18"/>
        <v>924600</v>
      </c>
    </row>
    <row r="1133" spans="1:7" ht="17.25" x14ac:dyDescent="0.3">
      <c r="A1133" s="23" t="s">
        <v>283</v>
      </c>
      <c r="B1133" s="22" t="s">
        <v>24</v>
      </c>
      <c r="C1133" s="4" t="s">
        <v>341</v>
      </c>
      <c r="D1133" s="4" t="s">
        <v>110</v>
      </c>
      <c r="E1133" s="7">
        <v>12</v>
      </c>
      <c r="F1133" s="5">
        <f>IFERROR(VLOOKUP(D1133, Sheet2!$A:$C, 3, FALSE), 0)</f>
        <v>2500</v>
      </c>
      <c r="G1133" s="6">
        <f t="shared" si="18"/>
        <v>30000</v>
      </c>
    </row>
    <row r="1134" spans="1:7" ht="17.25" x14ac:dyDescent="0.3">
      <c r="A1134" s="23" t="s">
        <v>283</v>
      </c>
      <c r="B1134" s="22" t="s">
        <v>24</v>
      </c>
      <c r="C1134" s="4" t="s">
        <v>341</v>
      </c>
      <c r="D1134" s="4" t="s">
        <v>17</v>
      </c>
      <c r="E1134" s="7">
        <v>46</v>
      </c>
      <c r="F1134" s="5">
        <f>IFERROR(VLOOKUP(D1134, Sheet2!$A:$C, 3, FALSE), 0)</f>
        <v>11700</v>
      </c>
      <c r="G1134" s="6">
        <f t="shared" si="18"/>
        <v>538200</v>
      </c>
    </row>
    <row r="1135" spans="1:7" ht="17.25" x14ac:dyDescent="0.3">
      <c r="A1135" s="23" t="s">
        <v>283</v>
      </c>
      <c r="B1135" s="22" t="s">
        <v>23</v>
      </c>
      <c r="C1135" s="4" t="s">
        <v>342</v>
      </c>
      <c r="D1135" s="3" t="s">
        <v>61</v>
      </c>
      <c r="E1135" s="7">
        <v>41</v>
      </c>
      <c r="F1135" s="5">
        <f>IFERROR(VLOOKUP(D1135, Sheet2!$A:$C, 3, FALSE), 0)</f>
        <v>7363.6363636363631</v>
      </c>
      <c r="G1135" s="6">
        <f t="shared" si="18"/>
        <v>301909.09090909088</v>
      </c>
    </row>
    <row r="1136" spans="1:7" ht="17.25" x14ac:dyDescent="0.3">
      <c r="A1136" s="22" t="s">
        <v>284</v>
      </c>
      <c r="B1136" s="22" t="s">
        <v>23</v>
      </c>
      <c r="C1136" s="4" t="s">
        <v>344</v>
      </c>
      <c r="D1136" s="3" t="s">
        <v>120</v>
      </c>
      <c r="E1136" s="7">
        <v>85</v>
      </c>
      <c r="F1136" s="5">
        <f>IFERROR(VLOOKUP(D1136, Sheet2!$A:$C, 3, FALSE), 0)</f>
        <v>6272.7272727272721</v>
      </c>
      <c r="G1136" s="6">
        <f t="shared" si="18"/>
        <v>533181.81818181812</v>
      </c>
    </row>
    <row r="1137" spans="1:7" ht="17.25" x14ac:dyDescent="0.3">
      <c r="A1137" s="23" t="s">
        <v>283</v>
      </c>
      <c r="B1137" s="22" t="s">
        <v>23</v>
      </c>
      <c r="C1137" s="4" t="s">
        <v>342</v>
      </c>
      <c r="D1137" s="3" t="s">
        <v>61</v>
      </c>
      <c r="E1137" s="7">
        <v>50</v>
      </c>
      <c r="F1137" s="5">
        <f>IFERROR(VLOOKUP(D1137, Sheet2!$A:$C, 3, FALSE), 0)</f>
        <v>7363.6363636363631</v>
      </c>
      <c r="G1137" s="6">
        <f t="shared" si="18"/>
        <v>368181.81818181818</v>
      </c>
    </row>
    <row r="1138" spans="1:7" ht="17.25" x14ac:dyDescent="0.3">
      <c r="A1138" s="23" t="s">
        <v>283</v>
      </c>
      <c r="B1138" s="22" t="s">
        <v>23</v>
      </c>
      <c r="C1138" s="4" t="s">
        <v>342</v>
      </c>
      <c r="D1138" s="3" t="s">
        <v>61</v>
      </c>
      <c r="E1138" s="7">
        <v>38</v>
      </c>
      <c r="F1138" s="5">
        <f>IFERROR(VLOOKUP(D1138, Sheet2!$A:$C, 3, FALSE), 0)</f>
        <v>7363.6363636363631</v>
      </c>
      <c r="G1138" s="6">
        <f t="shared" si="18"/>
        <v>279818.18181818182</v>
      </c>
    </row>
    <row r="1139" spans="1:7" ht="17.25" x14ac:dyDescent="0.3">
      <c r="A1139" s="22" t="s">
        <v>283</v>
      </c>
      <c r="B1139" s="22" t="s">
        <v>102</v>
      </c>
      <c r="C1139" s="4" t="s">
        <v>344</v>
      </c>
      <c r="D1139" s="11" t="s">
        <v>39</v>
      </c>
      <c r="E1139" s="7">
        <v>119</v>
      </c>
      <c r="F1139" s="5">
        <f>IFERROR(VLOOKUP(D1139, Sheet2!$A:$C, 3, FALSE), 0)</f>
        <v>3863.6363636363635</v>
      </c>
      <c r="G1139" s="6">
        <f t="shared" si="18"/>
        <v>459772.72727272724</v>
      </c>
    </row>
    <row r="1140" spans="1:7" ht="17.25" x14ac:dyDescent="0.3">
      <c r="A1140" s="23" t="s">
        <v>283</v>
      </c>
      <c r="B1140" s="22" t="s">
        <v>29</v>
      </c>
      <c r="C1140" s="4" t="s">
        <v>344</v>
      </c>
      <c r="D1140" s="3" t="s">
        <v>52</v>
      </c>
      <c r="E1140" s="7">
        <v>267</v>
      </c>
      <c r="F1140" s="5">
        <f>IFERROR(VLOOKUP(D1140, Sheet2!$A:$C, 3, FALSE), 0)</f>
        <v>5999.9999999999991</v>
      </c>
      <c r="G1140" s="6">
        <f t="shared" si="18"/>
        <v>1601999.9999999998</v>
      </c>
    </row>
    <row r="1141" spans="1:7" ht="17.25" x14ac:dyDescent="0.3">
      <c r="A1141" s="22" t="s">
        <v>283</v>
      </c>
      <c r="B1141" s="22" t="s">
        <v>11</v>
      </c>
      <c r="C1141" s="4" t="s">
        <v>339</v>
      </c>
      <c r="D1141" s="3" t="s">
        <v>65</v>
      </c>
      <c r="E1141" s="7">
        <v>52</v>
      </c>
      <c r="F1141" s="5">
        <f>IFERROR(VLOOKUP(D1141, Sheet2!$A:$C, 3, FALSE), 0)</f>
        <v>16199.999999999998</v>
      </c>
      <c r="G1141" s="6">
        <f t="shared" si="18"/>
        <v>842399.99999999988</v>
      </c>
    </row>
    <row r="1142" spans="1:7" ht="17.25" x14ac:dyDescent="0.3">
      <c r="A1142" s="23" t="s">
        <v>283</v>
      </c>
      <c r="B1142" s="22" t="s">
        <v>27</v>
      </c>
      <c r="C1142" s="4" t="s">
        <v>344</v>
      </c>
      <c r="D1142" s="3" t="s">
        <v>52</v>
      </c>
      <c r="E1142" s="7">
        <v>341</v>
      </c>
      <c r="F1142" s="5">
        <f>IFERROR(VLOOKUP(D1142, Sheet2!$A:$C, 3, FALSE), 0)</f>
        <v>5999.9999999999991</v>
      </c>
      <c r="G1142" s="6">
        <f t="shared" si="18"/>
        <v>2045999.9999999998</v>
      </c>
    </row>
    <row r="1143" spans="1:7" ht="17.25" x14ac:dyDescent="0.3">
      <c r="A1143" s="23" t="s">
        <v>283</v>
      </c>
      <c r="B1143" s="22" t="s">
        <v>63</v>
      </c>
      <c r="C1143" s="4" t="s">
        <v>338</v>
      </c>
      <c r="D1143" s="3" t="s">
        <v>54</v>
      </c>
      <c r="E1143" s="7">
        <v>719</v>
      </c>
      <c r="F1143" s="5">
        <f>IFERROR(VLOOKUP(D1143, Sheet2!$A:$C, 3, FALSE), 0)</f>
        <v>7899.9999999999991</v>
      </c>
      <c r="G1143" s="6">
        <f t="shared" si="18"/>
        <v>5680099.9999999991</v>
      </c>
    </row>
    <row r="1144" spans="1:7" ht="17.25" x14ac:dyDescent="0.3">
      <c r="A1144" s="22" t="s">
        <v>283</v>
      </c>
      <c r="B1144" s="22" t="s">
        <v>43</v>
      </c>
      <c r="C1144" s="4" t="s">
        <v>344</v>
      </c>
      <c r="D1144" s="3" t="s">
        <v>56</v>
      </c>
      <c r="E1144" s="7">
        <v>172</v>
      </c>
      <c r="F1144" s="5">
        <f>IFERROR(VLOOKUP(D1144, Sheet2!$A:$C, 3, FALSE), 0)</f>
        <v>5545.454545454545</v>
      </c>
      <c r="G1144" s="6">
        <f t="shared" si="18"/>
        <v>953818.18181818177</v>
      </c>
    </row>
    <row r="1145" spans="1:7" ht="17.25" x14ac:dyDescent="0.3">
      <c r="A1145" s="23" t="s">
        <v>283</v>
      </c>
      <c r="B1145" s="22" t="s">
        <v>43</v>
      </c>
      <c r="C1145" s="4" t="s">
        <v>338</v>
      </c>
      <c r="D1145" s="3" t="s">
        <v>36</v>
      </c>
      <c r="E1145" s="7">
        <v>365</v>
      </c>
      <c r="F1145" s="5">
        <f>IFERROR(VLOOKUP(D1145, Sheet2!$A:$C, 3, FALSE), 0)</f>
        <v>7899.9999999999991</v>
      </c>
      <c r="G1145" s="6">
        <f t="shared" si="18"/>
        <v>2883499.9999999995</v>
      </c>
    </row>
    <row r="1146" spans="1:7" ht="17.25" x14ac:dyDescent="0.3">
      <c r="A1146" s="23" t="s">
        <v>283</v>
      </c>
      <c r="B1146" s="22" t="s">
        <v>14</v>
      </c>
      <c r="C1146" s="4" t="s">
        <v>344</v>
      </c>
      <c r="D1146" s="3" t="s">
        <v>32</v>
      </c>
      <c r="E1146" s="7">
        <v>609</v>
      </c>
      <c r="F1146" s="5">
        <f>IFERROR(VLOOKUP(D1146, Sheet2!$A:$C, 3, FALSE), 0)</f>
        <v>4363.6363636363631</v>
      </c>
      <c r="G1146" s="6">
        <f t="shared" si="18"/>
        <v>2657454.5454545449</v>
      </c>
    </row>
    <row r="1147" spans="1:7" ht="17.25" x14ac:dyDescent="0.3">
      <c r="A1147" s="22" t="s">
        <v>283</v>
      </c>
      <c r="B1147" s="22" t="s">
        <v>33</v>
      </c>
      <c r="C1147" s="4" t="s">
        <v>344</v>
      </c>
      <c r="D1147" s="3" t="s">
        <v>52</v>
      </c>
      <c r="E1147" s="7">
        <v>218</v>
      </c>
      <c r="F1147" s="5">
        <f>IFERROR(VLOOKUP(D1147, Sheet2!$A:$C, 3, FALSE), 0)</f>
        <v>5999.9999999999991</v>
      </c>
      <c r="G1147" s="6">
        <f t="shared" si="18"/>
        <v>1307999.9999999998</v>
      </c>
    </row>
    <row r="1148" spans="1:7" ht="17.25" x14ac:dyDescent="0.3">
      <c r="A1148" s="23" t="s">
        <v>283</v>
      </c>
      <c r="B1148" s="22" t="s">
        <v>33</v>
      </c>
      <c r="C1148" s="4" t="s">
        <v>341</v>
      </c>
      <c r="D1148" s="4" t="s">
        <v>110</v>
      </c>
      <c r="E1148" s="7">
        <v>98</v>
      </c>
      <c r="F1148" s="5">
        <f>IFERROR(VLOOKUP(D1148, Sheet2!$A:$C, 3, FALSE), 0)</f>
        <v>2500</v>
      </c>
      <c r="G1148" s="6">
        <f t="shared" si="18"/>
        <v>245000</v>
      </c>
    </row>
    <row r="1149" spans="1:7" ht="17.25" x14ac:dyDescent="0.3">
      <c r="A1149" s="23" t="s">
        <v>283</v>
      </c>
      <c r="B1149" s="22" t="s">
        <v>33</v>
      </c>
      <c r="C1149" s="4" t="s">
        <v>341</v>
      </c>
      <c r="D1149" s="4" t="s">
        <v>17</v>
      </c>
      <c r="E1149" s="7">
        <v>2</v>
      </c>
      <c r="F1149" s="5">
        <f>IFERROR(VLOOKUP(D1149, Sheet2!$A:$C, 3, FALSE), 0)</f>
        <v>11700</v>
      </c>
      <c r="G1149" s="6">
        <f t="shared" si="18"/>
        <v>23400</v>
      </c>
    </row>
    <row r="1150" spans="1:7" ht="17.25" x14ac:dyDescent="0.3">
      <c r="A1150" s="22" t="s">
        <v>285</v>
      </c>
      <c r="B1150" s="22" t="s">
        <v>19</v>
      </c>
      <c r="C1150" s="4" t="s">
        <v>337</v>
      </c>
      <c r="D1150" s="3" t="s">
        <v>185</v>
      </c>
      <c r="E1150" s="7">
        <v>402</v>
      </c>
      <c r="F1150" s="5">
        <f>IFERROR(VLOOKUP(D1150, Sheet2!$A:$C, 3, FALSE), 0)</f>
        <v>10818.181818181818</v>
      </c>
      <c r="G1150" s="6">
        <f t="shared" si="18"/>
        <v>4348909.0909090908</v>
      </c>
    </row>
    <row r="1151" spans="1:7" ht="17.25" x14ac:dyDescent="0.3">
      <c r="A1151" s="22" t="s">
        <v>285</v>
      </c>
      <c r="B1151" s="22" t="s">
        <v>103</v>
      </c>
      <c r="C1151" s="4" t="s">
        <v>338</v>
      </c>
      <c r="D1151" s="3" t="s">
        <v>28</v>
      </c>
      <c r="E1151" s="7">
        <v>684</v>
      </c>
      <c r="F1151" s="5">
        <f>IFERROR(VLOOKUP(D1151, Sheet2!$A:$C, 3, FALSE), 0)</f>
        <v>7899.9999999999991</v>
      </c>
      <c r="G1151" s="6">
        <f t="shared" si="18"/>
        <v>5403599.9999999991</v>
      </c>
    </row>
    <row r="1152" spans="1:7" ht="17.25" x14ac:dyDescent="0.3">
      <c r="A1152" s="22" t="s">
        <v>285</v>
      </c>
      <c r="B1152" s="22" t="s">
        <v>46</v>
      </c>
      <c r="C1152" s="4" t="s">
        <v>342</v>
      </c>
      <c r="D1152" s="3" t="s">
        <v>35</v>
      </c>
      <c r="E1152" s="7">
        <v>175</v>
      </c>
      <c r="F1152" s="5">
        <f>IFERROR(VLOOKUP(D1152, Sheet2!$A:$C, 3, FALSE), 0)</f>
        <v>8363.6363636363621</v>
      </c>
      <c r="G1152" s="6">
        <f t="shared" si="18"/>
        <v>1463636.3636363633</v>
      </c>
    </row>
    <row r="1153" spans="1:7" ht="17.25" x14ac:dyDescent="0.3">
      <c r="A1153" s="22" t="s">
        <v>285</v>
      </c>
      <c r="B1153" s="22" t="s">
        <v>25</v>
      </c>
      <c r="C1153" s="4" t="s">
        <v>344</v>
      </c>
      <c r="D1153" s="3" t="s">
        <v>53</v>
      </c>
      <c r="E1153" s="7">
        <v>897</v>
      </c>
      <c r="F1153" s="5">
        <f>IFERROR(VLOOKUP(D1153, Sheet2!$A:$C, 3, FALSE), 0)</f>
        <v>5818.181818181818</v>
      </c>
      <c r="G1153" s="6">
        <f t="shared" si="18"/>
        <v>5218909.0909090908</v>
      </c>
    </row>
    <row r="1154" spans="1:7" ht="17.25" x14ac:dyDescent="0.3">
      <c r="A1154" s="22" t="s">
        <v>285</v>
      </c>
      <c r="B1154" s="22" t="s">
        <v>25</v>
      </c>
      <c r="C1154" s="4" t="s">
        <v>215</v>
      </c>
      <c r="D1154" s="3" t="s">
        <v>264</v>
      </c>
      <c r="E1154" s="7">
        <v>922</v>
      </c>
      <c r="F1154" s="5">
        <f>IFERROR(VLOOKUP(D1154, Sheet2!$A:$C, 3, FALSE), 0)</f>
        <v>4454.545454545454</v>
      </c>
      <c r="G1154" s="6">
        <f t="shared" si="18"/>
        <v>4107090.9090909087</v>
      </c>
    </row>
    <row r="1155" spans="1:7" ht="17.25" x14ac:dyDescent="0.3">
      <c r="A1155" s="22" t="s">
        <v>285</v>
      </c>
      <c r="B1155" s="22" t="s">
        <v>23</v>
      </c>
      <c r="C1155" s="4" t="s">
        <v>342</v>
      </c>
      <c r="D1155" s="3" t="s">
        <v>61</v>
      </c>
      <c r="E1155" s="7">
        <v>35</v>
      </c>
      <c r="F1155" s="5">
        <f>IFERROR(VLOOKUP(D1155, Sheet2!$A:$C, 3, FALSE), 0)</f>
        <v>7363.6363636363631</v>
      </c>
      <c r="G1155" s="6">
        <f t="shared" si="18"/>
        <v>257727.27272727271</v>
      </c>
    </row>
    <row r="1156" spans="1:7" ht="17.25" x14ac:dyDescent="0.3">
      <c r="A1156" s="22" t="s">
        <v>285</v>
      </c>
      <c r="B1156" s="22" t="s">
        <v>63</v>
      </c>
      <c r="C1156" s="4" t="s">
        <v>342</v>
      </c>
      <c r="D1156" s="11" t="s">
        <v>35</v>
      </c>
      <c r="E1156" s="10">
        <v>240</v>
      </c>
      <c r="F1156" s="5">
        <f>IFERROR(VLOOKUP(D1156, Sheet2!$A:$C, 3, FALSE), 0)</f>
        <v>8363.6363636363621</v>
      </c>
      <c r="G1156" s="6">
        <f t="shared" si="18"/>
        <v>2007272.7272727268</v>
      </c>
    </row>
    <row r="1157" spans="1:7" ht="17.25" x14ac:dyDescent="0.3">
      <c r="A1157" s="23" t="s">
        <v>285</v>
      </c>
      <c r="B1157" s="22" t="s">
        <v>63</v>
      </c>
      <c r="C1157" s="4" t="s">
        <v>215</v>
      </c>
      <c r="D1157" s="3" t="s">
        <v>178</v>
      </c>
      <c r="E1157" s="7">
        <v>816</v>
      </c>
      <c r="F1157" s="5">
        <f>IFERROR(VLOOKUP(D1157, Sheet2!$A:$C, 3, FALSE), 0)</f>
        <v>8545.4545454545441</v>
      </c>
      <c r="G1157" s="6">
        <f t="shared" si="18"/>
        <v>6973090.9090909082</v>
      </c>
    </row>
    <row r="1158" spans="1:7" ht="17.25" x14ac:dyDescent="0.3">
      <c r="A1158" s="22" t="s">
        <v>285</v>
      </c>
      <c r="B1158" s="22" t="s">
        <v>14</v>
      </c>
      <c r="C1158" s="4" t="s">
        <v>337</v>
      </c>
      <c r="D1158" s="3" t="s">
        <v>122</v>
      </c>
      <c r="E1158" s="7">
        <v>652</v>
      </c>
      <c r="F1158" s="5">
        <f>IFERROR(VLOOKUP(D1158, Sheet2!$A:$C, 3, FALSE), 0)</f>
        <v>8181.8181818181811</v>
      </c>
      <c r="G1158" s="6">
        <f t="shared" si="18"/>
        <v>5334545.4545454541</v>
      </c>
    </row>
    <row r="1159" spans="1:7" ht="17.25" x14ac:dyDescent="0.3">
      <c r="A1159" s="22" t="s">
        <v>285</v>
      </c>
      <c r="B1159" s="22" t="s">
        <v>33</v>
      </c>
      <c r="C1159" s="4" t="s">
        <v>344</v>
      </c>
      <c r="D1159" s="3" t="s">
        <v>56</v>
      </c>
      <c r="E1159" s="7">
        <v>95</v>
      </c>
      <c r="F1159" s="5">
        <f>IFERROR(VLOOKUP(D1159, Sheet2!$A:$C, 3, FALSE), 0)</f>
        <v>5545.454545454545</v>
      </c>
      <c r="G1159" s="6">
        <f t="shared" si="18"/>
        <v>526818.18181818177</v>
      </c>
    </row>
    <row r="1160" spans="1:7" ht="17.25" x14ac:dyDescent="0.3">
      <c r="A1160" s="23" t="s">
        <v>285</v>
      </c>
      <c r="B1160" s="22" t="s">
        <v>33</v>
      </c>
      <c r="C1160" s="4" t="s">
        <v>341</v>
      </c>
      <c r="D1160" s="4" t="s">
        <v>17</v>
      </c>
      <c r="E1160" s="7">
        <v>136</v>
      </c>
      <c r="F1160" s="5">
        <f>IFERROR(VLOOKUP(D1160, Sheet2!$A:$C, 3, FALSE), 0)</f>
        <v>11700</v>
      </c>
      <c r="G1160" s="6">
        <f t="shared" si="18"/>
        <v>1591200</v>
      </c>
    </row>
    <row r="1161" spans="1:7" ht="17.25" x14ac:dyDescent="0.3">
      <c r="A1161" s="22" t="s">
        <v>285</v>
      </c>
      <c r="B1161" s="22" t="s">
        <v>51</v>
      </c>
      <c r="C1161" s="4" t="s">
        <v>337</v>
      </c>
      <c r="D1161" s="3" t="s">
        <v>9</v>
      </c>
      <c r="E1161" s="7">
        <v>1454</v>
      </c>
      <c r="F1161" s="5">
        <f>IFERROR(VLOOKUP(D1161, Sheet2!$A:$C, 3, FALSE), 0)</f>
        <v>18636.363636363636</v>
      </c>
      <c r="G1161" s="6">
        <f t="shared" si="18"/>
        <v>27097272.727272727</v>
      </c>
    </row>
    <row r="1162" spans="1:7" ht="17.25" x14ac:dyDescent="0.3">
      <c r="A1162" s="22" t="s">
        <v>286</v>
      </c>
      <c r="B1162" s="22" t="s">
        <v>21</v>
      </c>
      <c r="C1162" s="4" t="s">
        <v>344</v>
      </c>
      <c r="D1162" s="3" t="s">
        <v>22</v>
      </c>
      <c r="E1162" s="7">
        <v>83</v>
      </c>
      <c r="F1162" s="5">
        <f>IFERROR(VLOOKUP(D1162, Sheet2!$A:$C, 3, FALSE), 0)</f>
        <v>5999.9999999999991</v>
      </c>
      <c r="G1162" s="6">
        <f t="shared" si="18"/>
        <v>497999.99999999994</v>
      </c>
    </row>
    <row r="1163" spans="1:7" ht="17.25" x14ac:dyDescent="0.3">
      <c r="A1163" s="22" t="s">
        <v>286</v>
      </c>
      <c r="B1163" s="22" t="s">
        <v>31</v>
      </c>
      <c r="C1163" s="4" t="s">
        <v>342</v>
      </c>
      <c r="D1163" s="3" t="s">
        <v>35</v>
      </c>
      <c r="E1163" s="7">
        <v>381</v>
      </c>
      <c r="F1163" s="5">
        <f>IFERROR(VLOOKUP(D1163, Sheet2!$A:$C, 3, FALSE), 0)</f>
        <v>8363.6363636363621</v>
      </c>
      <c r="G1163" s="6">
        <f t="shared" si="18"/>
        <v>3186545.4545454541</v>
      </c>
    </row>
    <row r="1164" spans="1:7" ht="17.25" x14ac:dyDescent="0.3">
      <c r="A1164" s="22" t="s">
        <v>286</v>
      </c>
      <c r="B1164" s="22" t="s">
        <v>24</v>
      </c>
      <c r="C1164" s="4" t="s">
        <v>341</v>
      </c>
      <c r="D1164" s="4" t="s">
        <v>68</v>
      </c>
      <c r="E1164" s="7">
        <v>144</v>
      </c>
      <c r="F1164" s="5">
        <f>IFERROR(VLOOKUP(D1164, Sheet2!$A:$C, 3, FALSE), 0)</f>
        <v>13400</v>
      </c>
      <c r="G1164" s="6">
        <f t="shared" si="18"/>
        <v>1929600</v>
      </c>
    </row>
    <row r="1165" spans="1:7" ht="17.25" x14ac:dyDescent="0.3">
      <c r="A1165" s="23" t="s">
        <v>286</v>
      </c>
      <c r="B1165" s="22" t="s">
        <v>24</v>
      </c>
      <c r="C1165" s="4" t="s">
        <v>341</v>
      </c>
      <c r="D1165" s="4" t="s">
        <v>110</v>
      </c>
      <c r="E1165" s="7">
        <v>8</v>
      </c>
      <c r="F1165" s="5">
        <f>IFERROR(VLOOKUP(D1165, Sheet2!$A:$C, 3, FALSE), 0)</f>
        <v>2500</v>
      </c>
      <c r="G1165" s="6">
        <f t="shared" si="18"/>
        <v>20000</v>
      </c>
    </row>
    <row r="1166" spans="1:7" ht="17.25" x14ac:dyDescent="0.3">
      <c r="A1166" s="23" t="s">
        <v>286</v>
      </c>
      <c r="B1166" s="22" t="s">
        <v>24</v>
      </c>
      <c r="C1166" s="4" t="s">
        <v>341</v>
      </c>
      <c r="D1166" s="4" t="s">
        <v>17</v>
      </c>
      <c r="E1166" s="7">
        <v>54</v>
      </c>
      <c r="F1166" s="5">
        <f>IFERROR(VLOOKUP(D1166, Sheet2!$A:$C, 3, FALSE), 0)</f>
        <v>11700</v>
      </c>
      <c r="G1166" s="6">
        <f t="shared" si="18"/>
        <v>631800</v>
      </c>
    </row>
    <row r="1167" spans="1:7" ht="17.25" x14ac:dyDescent="0.3">
      <c r="A1167" s="23" t="s">
        <v>286</v>
      </c>
      <c r="B1167" s="22" t="s">
        <v>48</v>
      </c>
      <c r="C1167" s="4" t="s">
        <v>342</v>
      </c>
      <c r="D1167" s="3" t="s">
        <v>35</v>
      </c>
      <c r="E1167" s="7">
        <v>237</v>
      </c>
      <c r="F1167" s="5">
        <f>IFERROR(VLOOKUP(D1167, Sheet2!$A:$C, 3, FALSE), 0)</f>
        <v>8363.6363636363621</v>
      </c>
      <c r="G1167" s="6">
        <f t="shared" si="18"/>
        <v>1982181.8181818179</v>
      </c>
    </row>
    <row r="1168" spans="1:7" ht="17.25" x14ac:dyDescent="0.3">
      <c r="A1168" s="23" t="s">
        <v>286</v>
      </c>
      <c r="B1168" s="22" t="s">
        <v>29</v>
      </c>
      <c r="C1168" s="4" t="s">
        <v>339</v>
      </c>
      <c r="D1168" s="3" t="s">
        <v>97</v>
      </c>
      <c r="E1168" s="7">
        <v>661</v>
      </c>
      <c r="F1168" s="5">
        <f>IFERROR(VLOOKUP(D1168, Sheet2!$A:$C, 3, FALSE), 0)</f>
        <v>17181.81818181818</v>
      </c>
      <c r="G1168" s="6">
        <f t="shared" si="18"/>
        <v>11357181.818181816</v>
      </c>
    </row>
    <row r="1169" spans="1:7" ht="17.25" x14ac:dyDescent="0.3">
      <c r="A1169" s="22" t="s">
        <v>286</v>
      </c>
      <c r="B1169" s="22" t="s">
        <v>30</v>
      </c>
      <c r="C1169" s="4" t="s">
        <v>343</v>
      </c>
      <c r="D1169" s="3" t="s">
        <v>109</v>
      </c>
      <c r="E1169" s="7">
        <v>345</v>
      </c>
      <c r="F1169" s="5">
        <f>IFERROR(VLOOKUP(D1169, Sheet2!$A:$C, 3, FALSE), 0)</f>
        <v>10454.545454545454</v>
      </c>
      <c r="G1169" s="6">
        <f t="shared" si="18"/>
        <v>3606818.1818181816</v>
      </c>
    </row>
    <row r="1170" spans="1:7" ht="17.25" x14ac:dyDescent="0.3">
      <c r="A1170" s="23" t="s">
        <v>287</v>
      </c>
      <c r="B1170" s="22" t="s">
        <v>21</v>
      </c>
      <c r="C1170" s="4" t="s">
        <v>339</v>
      </c>
      <c r="D1170" s="4" t="s">
        <v>76</v>
      </c>
      <c r="E1170" s="7">
        <v>1100</v>
      </c>
      <c r="F1170" s="5">
        <f>IFERROR(VLOOKUP(D1170, Sheet2!$A:$C, 3, FALSE), 0)</f>
        <v>8636.363636363636</v>
      </c>
      <c r="G1170" s="6">
        <f t="shared" si="18"/>
        <v>9500000</v>
      </c>
    </row>
    <row r="1171" spans="1:7" ht="17.25" x14ac:dyDescent="0.3">
      <c r="A1171" s="22" t="s">
        <v>287</v>
      </c>
      <c r="B1171" s="22" t="s">
        <v>69</v>
      </c>
      <c r="C1171" s="4" t="s">
        <v>337</v>
      </c>
      <c r="D1171" s="3" t="s">
        <v>64</v>
      </c>
      <c r="E1171" s="7">
        <v>2364</v>
      </c>
      <c r="F1171" s="5">
        <f>IFERROR(VLOOKUP(D1171, Sheet2!$A:$C, 3, FALSE), 0)</f>
        <v>14545.454545454544</v>
      </c>
      <c r="G1171" s="6">
        <f t="shared" si="18"/>
        <v>34385454.545454539</v>
      </c>
    </row>
    <row r="1172" spans="1:7" ht="17.25" x14ac:dyDescent="0.3">
      <c r="A1172" s="22" t="s">
        <v>287</v>
      </c>
      <c r="B1172" s="22" t="s">
        <v>25</v>
      </c>
      <c r="C1172" s="4" t="s">
        <v>344</v>
      </c>
      <c r="D1172" s="3" t="s">
        <v>22</v>
      </c>
      <c r="E1172" s="7">
        <v>156</v>
      </c>
      <c r="F1172" s="5">
        <f>IFERROR(VLOOKUP(D1172, Sheet2!$A:$C, 3, FALSE), 0)</f>
        <v>5999.9999999999991</v>
      </c>
      <c r="G1172" s="6">
        <f t="shared" si="18"/>
        <v>935999.99999999988</v>
      </c>
    </row>
    <row r="1173" spans="1:7" ht="17.25" x14ac:dyDescent="0.3">
      <c r="A1173" s="23" t="s">
        <v>287</v>
      </c>
      <c r="B1173" s="22" t="s">
        <v>48</v>
      </c>
      <c r="C1173" s="4" t="s">
        <v>342</v>
      </c>
      <c r="D1173" s="3" t="s">
        <v>35</v>
      </c>
      <c r="E1173" s="7">
        <v>225</v>
      </c>
      <c r="F1173" s="5">
        <f>IFERROR(VLOOKUP(D1173, Sheet2!$A:$C, 3, FALSE), 0)</f>
        <v>8363.6363636363621</v>
      </c>
      <c r="G1173" s="6">
        <f t="shared" si="18"/>
        <v>1881818.1818181814</v>
      </c>
    </row>
    <row r="1174" spans="1:7" ht="17.25" x14ac:dyDescent="0.3">
      <c r="A1174" s="22" t="s">
        <v>287</v>
      </c>
      <c r="B1174" s="22" t="s">
        <v>29</v>
      </c>
      <c r="C1174" s="4" t="s">
        <v>344</v>
      </c>
      <c r="D1174" s="3" t="s">
        <v>20</v>
      </c>
      <c r="E1174" s="10">
        <v>189</v>
      </c>
      <c r="F1174" s="5">
        <f>IFERROR(VLOOKUP(D1174, Sheet2!$A:$C, 3, FALSE), 0)</f>
        <v>6999.9999999999991</v>
      </c>
      <c r="G1174" s="6">
        <f t="shared" si="18"/>
        <v>1322999.9999999998</v>
      </c>
    </row>
    <row r="1175" spans="1:7" ht="17.25" x14ac:dyDescent="0.3">
      <c r="A1175" s="23" t="s">
        <v>287</v>
      </c>
      <c r="B1175" s="22" t="s">
        <v>27</v>
      </c>
      <c r="C1175" s="4" t="s">
        <v>344</v>
      </c>
      <c r="D1175" s="3" t="s">
        <v>20</v>
      </c>
      <c r="E1175" s="7">
        <v>230</v>
      </c>
      <c r="F1175" s="5">
        <f>IFERROR(VLOOKUP(D1175, Sheet2!$A:$C, 3, FALSE), 0)</f>
        <v>6999.9999999999991</v>
      </c>
      <c r="G1175" s="6">
        <f t="shared" si="18"/>
        <v>1609999.9999999998</v>
      </c>
    </row>
    <row r="1176" spans="1:7" ht="17.25" x14ac:dyDescent="0.3">
      <c r="A1176" s="22" t="s">
        <v>287</v>
      </c>
      <c r="B1176" s="22" t="s">
        <v>8</v>
      </c>
      <c r="C1176" s="4" t="s">
        <v>338</v>
      </c>
      <c r="D1176" s="3" t="s">
        <v>36</v>
      </c>
      <c r="E1176" s="7">
        <v>197</v>
      </c>
      <c r="F1176" s="5">
        <f>IFERROR(VLOOKUP(D1176, Sheet2!$A:$C, 3, FALSE), 0)</f>
        <v>7899.9999999999991</v>
      </c>
      <c r="G1176" s="6">
        <f t="shared" si="18"/>
        <v>1556299.9999999998</v>
      </c>
    </row>
    <row r="1177" spans="1:7" ht="17.25" x14ac:dyDescent="0.3">
      <c r="A1177" s="22" t="s">
        <v>287</v>
      </c>
      <c r="B1177" s="22" t="s">
        <v>33</v>
      </c>
      <c r="C1177" s="4" t="s">
        <v>341</v>
      </c>
      <c r="D1177" s="4" t="s">
        <v>17</v>
      </c>
      <c r="E1177" s="7">
        <v>31</v>
      </c>
      <c r="F1177" s="5">
        <f>IFERROR(VLOOKUP(D1177, Sheet2!$A:$C, 3, FALSE), 0)</f>
        <v>11700</v>
      </c>
      <c r="G1177" s="6">
        <f t="shared" si="18"/>
        <v>362700</v>
      </c>
    </row>
    <row r="1178" spans="1:7" ht="17.25" x14ac:dyDescent="0.3">
      <c r="A1178" s="22" t="s">
        <v>288</v>
      </c>
      <c r="B1178" s="22" t="s">
        <v>93</v>
      </c>
      <c r="C1178" s="4" t="s">
        <v>344</v>
      </c>
      <c r="D1178" s="3" t="s">
        <v>39</v>
      </c>
      <c r="E1178" s="7">
        <v>346</v>
      </c>
      <c r="F1178" s="5">
        <f>IFERROR(VLOOKUP(D1178, Sheet2!$A:$C, 3, FALSE), 0)</f>
        <v>3863.6363636363635</v>
      </c>
      <c r="G1178" s="6">
        <f t="shared" si="18"/>
        <v>1336818.1818181819</v>
      </c>
    </row>
    <row r="1179" spans="1:7" ht="17.25" x14ac:dyDescent="0.3">
      <c r="A1179" s="23" t="s">
        <v>288</v>
      </c>
      <c r="B1179" s="22" t="s">
        <v>66</v>
      </c>
      <c r="C1179" s="4" t="s">
        <v>338</v>
      </c>
      <c r="D1179" s="3" t="s">
        <v>54</v>
      </c>
      <c r="E1179" s="7">
        <v>692</v>
      </c>
      <c r="F1179" s="5">
        <f>IFERROR(VLOOKUP(D1179, Sheet2!$A:$C, 3, FALSE), 0)</f>
        <v>7899.9999999999991</v>
      </c>
      <c r="G1179" s="6">
        <f t="shared" si="18"/>
        <v>5466799.9999999991</v>
      </c>
    </row>
    <row r="1180" spans="1:7" ht="17.25" x14ac:dyDescent="0.3">
      <c r="A1180" s="23" t="s">
        <v>288</v>
      </c>
      <c r="B1180" s="22" t="s">
        <v>66</v>
      </c>
      <c r="C1180" s="4" t="s">
        <v>344</v>
      </c>
      <c r="D1180" s="3" t="s">
        <v>59</v>
      </c>
      <c r="E1180" s="7">
        <v>144</v>
      </c>
      <c r="F1180" s="5">
        <f>IFERROR(VLOOKUP(D1180, Sheet2!$A:$C, 3, FALSE), 0)</f>
        <v>4681.8181818181811</v>
      </c>
      <c r="G1180" s="6">
        <f t="shared" ref="G1180:G1243" si="19">E1180*F1180</f>
        <v>674181.81818181812</v>
      </c>
    </row>
    <row r="1181" spans="1:7" ht="17.25" x14ac:dyDescent="0.3">
      <c r="A1181" s="22" t="s">
        <v>288</v>
      </c>
      <c r="B1181" s="22" t="s">
        <v>24</v>
      </c>
      <c r="C1181" s="4" t="s">
        <v>341</v>
      </c>
      <c r="D1181" s="4" t="s">
        <v>110</v>
      </c>
      <c r="E1181" s="7">
        <v>34</v>
      </c>
      <c r="F1181" s="5">
        <f>IFERROR(VLOOKUP(D1181, Sheet2!$A:$C, 3, FALSE), 0)</f>
        <v>2500</v>
      </c>
      <c r="G1181" s="6">
        <f t="shared" si="19"/>
        <v>85000</v>
      </c>
    </row>
    <row r="1182" spans="1:7" ht="17.25" x14ac:dyDescent="0.3">
      <c r="A1182" s="22" t="s">
        <v>288</v>
      </c>
      <c r="B1182" s="22" t="s">
        <v>24</v>
      </c>
      <c r="C1182" s="4" t="s">
        <v>341</v>
      </c>
      <c r="D1182" s="4" t="s">
        <v>17</v>
      </c>
      <c r="E1182" s="7">
        <v>79</v>
      </c>
      <c r="F1182" s="5">
        <f>IFERROR(VLOOKUP(D1182, Sheet2!$A:$C, 3, FALSE), 0)</f>
        <v>11700</v>
      </c>
      <c r="G1182" s="6">
        <f t="shared" si="19"/>
        <v>924300</v>
      </c>
    </row>
    <row r="1183" spans="1:7" ht="17.25" x14ac:dyDescent="0.3">
      <c r="A1183" s="23" t="s">
        <v>288</v>
      </c>
      <c r="B1183" s="22" t="s">
        <v>24</v>
      </c>
      <c r="C1183" s="4" t="s">
        <v>344</v>
      </c>
      <c r="D1183" s="4" t="s">
        <v>52</v>
      </c>
      <c r="E1183" s="7">
        <v>150</v>
      </c>
      <c r="F1183" s="5">
        <f>IFERROR(VLOOKUP(D1183, Sheet2!$A:$C, 3, FALSE), 0)</f>
        <v>5999.9999999999991</v>
      </c>
      <c r="G1183" s="6">
        <f t="shared" si="19"/>
        <v>899999.99999999988</v>
      </c>
    </row>
    <row r="1184" spans="1:7" ht="17.25" x14ac:dyDescent="0.3">
      <c r="A1184" s="22" t="s">
        <v>288</v>
      </c>
      <c r="B1184" s="22" t="s">
        <v>75</v>
      </c>
      <c r="C1184" s="4" t="s">
        <v>337</v>
      </c>
      <c r="D1184" s="11" t="s">
        <v>186</v>
      </c>
      <c r="E1184" s="7">
        <v>2145</v>
      </c>
      <c r="F1184" s="5">
        <f>IFERROR(VLOOKUP(D1184, Sheet2!$A:$C, 3, FALSE), 0)</f>
        <v>14545.454545454544</v>
      </c>
      <c r="G1184" s="6">
        <f t="shared" si="19"/>
        <v>31199999.999999996</v>
      </c>
    </row>
    <row r="1185" spans="1:7" ht="17.25" x14ac:dyDescent="0.3">
      <c r="A1185" s="23" t="s">
        <v>288</v>
      </c>
      <c r="B1185" s="22" t="s">
        <v>75</v>
      </c>
      <c r="C1185" s="4" t="s">
        <v>344</v>
      </c>
      <c r="D1185" s="4" t="s">
        <v>22</v>
      </c>
      <c r="E1185" s="7">
        <v>147</v>
      </c>
      <c r="F1185" s="5">
        <f>IFERROR(VLOOKUP(D1185, Sheet2!$A:$C, 3, FALSE), 0)</f>
        <v>5999.9999999999991</v>
      </c>
      <c r="G1185" s="6">
        <f t="shared" si="19"/>
        <v>881999.99999999988</v>
      </c>
    </row>
    <row r="1186" spans="1:7" ht="17.25" x14ac:dyDescent="0.3">
      <c r="A1186" s="22" t="s">
        <v>288</v>
      </c>
      <c r="B1186" s="22" t="s">
        <v>48</v>
      </c>
      <c r="C1186" s="4" t="s">
        <v>337</v>
      </c>
      <c r="D1186" s="4" t="s">
        <v>113</v>
      </c>
      <c r="E1186" s="7">
        <v>1296</v>
      </c>
      <c r="F1186" s="5">
        <f>IFERROR(VLOOKUP(D1186, Sheet2!$A:$C, 3, FALSE), 0)</f>
        <v>20727.272727272724</v>
      </c>
      <c r="G1186" s="6">
        <f t="shared" si="19"/>
        <v>26862545.454545449</v>
      </c>
    </row>
    <row r="1187" spans="1:7" ht="17.25" x14ac:dyDescent="0.3">
      <c r="A1187" s="23" t="s">
        <v>288</v>
      </c>
      <c r="B1187" s="22" t="s">
        <v>43</v>
      </c>
      <c r="C1187" s="4" t="s">
        <v>339</v>
      </c>
      <c r="D1187" s="4" t="s">
        <v>67</v>
      </c>
      <c r="E1187" s="7">
        <v>505</v>
      </c>
      <c r="F1187" s="5">
        <f>IFERROR(VLOOKUP(D1187, Sheet2!$A:$C, 3, FALSE), 0)</f>
        <v>10818.181818181818</v>
      </c>
      <c r="G1187" s="6">
        <f t="shared" si="19"/>
        <v>5463181.8181818184</v>
      </c>
    </row>
    <row r="1188" spans="1:7" ht="17.25" x14ac:dyDescent="0.3">
      <c r="A1188" s="23" t="s">
        <v>288</v>
      </c>
      <c r="B1188" s="22" t="s">
        <v>43</v>
      </c>
      <c r="C1188" s="4" t="s">
        <v>337</v>
      </c>
      <c r="D1188" s="4" t="s">
        <v>182</v>
      </c>
      <c r="E1188" s="7">
        <v>343</v>
      </c>
      <c r="F1188" s="5">
        <f>IFERROR(VLOOKUP(D1188, Sheet2!$A:$C, 3, FALSE), 0)</f>
        <v>17800</v>
      </c>
      <c r="G1188" s="6">
        <f t="shared" si="19"/>
        <v>6105400</v>
      </c>
    </row>
    <row r="1189" spans="1:7" ht="17.25" x14ac:dyDescent="0.3">
      <c r="A1189" s="22" t="s">
        <v>288</v>
      </c>
      <c r="B1189" s="22" t="s">
        <v>60</v>
      </c>
      <c r="C1189" s="4" t="s">
        <v>338</v>
      </c>
      <c r="D1189" s="4" t="s">
        <v>54</v>
      </c>
      <c r="E1189" s="7">
        <v>298</v>
      </c>
      <c r="F1189" s="5">
        <f>IFERROR(VLOOKUP(D1189, Sheet2!$A:$C, 3, FALSE), 0)</f>
        <v>7899.9999999999991</v>
      </c>
      <c r="G1189" s="6">
        <f t="shared" si="19"/>
        <v>2354199.9999999995</v>
      </c>
    </row>
    <row r="1190" spans="1:7" ht="17.25" x14ac:dyDescent="0.3">
      <c r="A1190" s="22" t="s">
        <v>288</v>
      </c>
      <c r="B1190" s="22" t="s">
        <v>60</v>
      </c>
      <c r="C1190" s="4" t="s">
        <v>337</v>
      </c>
      <c r="D1190" s="4" t="s">
        <v>128</v>
      </c>
      <c r="E1190" s="7">
        <v>351</v>
      </c>
      <c r="F1190" s="5">
        <f>IFERROR(VLOOKUP(D1190, Sheet2!$A:$C, 3, FALSE), 0)</f>
        <v>20727.272727272724</v>
      </c>
      <c r="G1190" s="6">
        <f t="shared" si="19"/>
        <v>7275272.7272727266</v>
      </c>
    </row>
    <row r="1191" spans="1:7" ht="17.25" x14ac:dyDescent="0.3">
      <c r="A1191" s="23" t="s">
        <v>289</v>
      </c>
      <c r="B1191" s="22" t="s">
        <v>150</v>
      </c>
      <c r="C1191" s="4" t="s">
        <v>344</v>
      </c>
      <c r="D1191" s="3" t="s">
        <v>156</v>
      </c>
      <c r="E1191" s="7">
        <v>701</v>
      </c>
      <c r="F1191" s="5">
        <f>IFERROR(VLOOKUP(D1191, Sheet2!$A:$C, 3, FALSE), 0)</f>
        <v>3454.545454545454</v>
      </c>
      <c r="G1191" s="6">
        <f t="shared" si="19"/>
        <v>2421636.3636363633</v>
      </c>
    </row>
    <row r="1192" spans="1:7" ht="17.25" x14ac:dyDescent="0.3">
      <c r="A1192" s="23" t="s">
        <v>289</v>
      </c>
      <c r="B1192" s="22" t="s">
        <v>24</v>
      </c>
      <c r="C1192" s="4" t="s">
        <v>338</v>
      </c>
      <c r="D1192" s="4" t="s">
        <v>36</v>
      </c>
      <c r="E1192" s="7">
        <v>278</v>
      </c>
      <c r="F1192" s="5">
        <f>IFERROR(VLOOKUP(D1192, Sheet2!$A:$C, 3, FALSE), 0)</f>
        <v>7899.9999999999991</v>
      </c>
      <c r="G1192" s="6">
        <f t="shared" si="19"/>
        <v>2196199.9999999995</v>
      </c>
    </row>
    <row r="1193" spans="1:7" ht="17.25" x14ac:dyDescent="0.3">
      <c r="A1193" s="22" t="s">
        <v>289</v>
      </c>
      <c r="B1193" s="22" t="s">
        <v>24</v>
      </c>
      <c r="C1193" s="4" t="s">
        <v>215</v>
      </c>
      <c r="D1193" s="4" t="s">
        <v>264</v>
      </c>
      <c r="E1193" s="7">
        <v>431</v>
      </c>
      <c r="F1193" s="5">
        <f>IFERROR(VLOOKUP(D1193, Sheet2!$A:$C, 3, FALSE), 0)</f>
        <v>4454.545454545454</v>
      </c>
      <c r="G1193" s="6">
        <f t="shared" si="19"/>
        <v>1919909.0909090906</v>
      </c>
    </row>
    <row r="1194" spans="1:7" ht="17.25" x14ac:dyDescent="0.3">
      <c r="A1194" s="23" t="s">
        <v>289</v>
      </c>
      <c r="B1194" s="22" t="s">
        <v>23</v>
      </c>
      <c r="C1194" s="4" t="s">
        <v>342</v>
      </c>
      <c r="D1194" s="4" t="s">
        <v>61</v>
      </c>
      <c r="E1194" s="7">
        <v>71</v>
      </c>
      <c r="F1194" s="5">
        <f>IFERROR(VLOOKUP(D1194, Sheet2!$A:$C, 3, FALSE), 0)</f>
        <v>7363.6363636363631</v>
      </c>
      <c r="G1194" s="6">
        <f t="shared" si="19"/>
        <v>522818.18181818177</v>
      </c>
    </row>
    <row r="1195" spans="1:7" ht="17.25" x14ac:dyDescent="0.3">
      <c r="A1195" s="23" t="s">
        <v>289</v>
      </c>
      <c r="B1195" s="22" t="s">
        <v>23</v>
      </c>
      <c r="C1195" s="4" t="s">
        <v>342</v>
      </c>
      <c r="D1195" s="4" t="s">
        <v>61</v>
      </c>
      <c r="E1195" s="7">
        <v>66</v>
      </c>
      <c r="F1195" s="5">
        <f>IFERROR(VLOOKUP(D1195, Sheet2!$A:$C, 3, FALSE), 0)</f>
        <v>7363.6363636363631</v>
      </c>
      <c r="G1195" s="6">
        <f t="shared" si="19"/>
        <v>485999.99999999994</v>
      </c>
    </row>
    <row r="1196" spans="1:7" ht="17.25" x14ac:dyDescent="0.3">
      <c r="A1196" s="23" t="s">
        <v>289</v>
      </c>
      <c r="B1196" s="22" t="s">
        <v>24</v>
      </c>
      <c r="C1196" s="4" t="s">
        <v>338</v>
      </c>
      <c r="D1196" s="4" t="s">
        <v>36</v>
      </c>
      <c r="E1196" s="7">
        <v>278</v>
      </c>
      <c r="F1196" s="5">
        <f>IFERROR(VLOOKUP(D1196, Sheet2!$A:$C, 3, FALSE), 0)</f>
        <v>7899.9999999999991</v>
      </c>
      <c r="G1196" s="6">
        <f t="shared" si="19"/>
        <v>2196199.9999999995</v>
      </c>
    </row>
    <row r="1197" spans="1:7" ht="17.25" x14ac:dyDescent="0.3">
      <c r="A1197" s="22" t="s">
        <v>289</v>
      </c>
      <c r="B1197" s="22" t="s">
        <v>24</v>
      </c>
      <c r="C1197" s="4" t="s">
        <v>215</v>
      </c>
      <c r="D1197" s="4" t="s">
        <v>264</v>
      </c>
      <c r="E1197" s="7">
        <v>431</v>
      </c>
      <c r="F1197" s="5">
        <f>IFERROR(VLOOKUP(D1197, Sheet2!$A:$C, 3, FALSE), 0)</f>
        <v>4454.545454545454</v>
      </c>
      <c r="G1197" s="6">
        <f t="shared" si="19"/>
        <v>1919909.0909090906</v>
      </c>
    </row>
    <row r="1198" spans="1:7" ht="17.25" x14ac:dyDescent="0.3">
      <c r="A1198" s="23" t="s">
        <v>289</v>
      </c>
      <c r="B1198" s="22" t="s">
        <v>23</v>
      </c>
      <c r="C1198" s="4" t="s">
        <v>342</v>
      </c>
      <c r="D1198" s="4" t="s">
        <v>61</v>
      </c>
      <c r="E1198" s="7">
        <v>71</v>
      </c>
      <c r="F1198" s="5">
        <f>IFERROR(VLOOKUP(D1198, Sheet2!$A:$C, 3, FALSE), 0)</f>
        <v>7363.6363636363631</v>
      </c>
      <c r="G1198" s="6">
        <f t="shared" si="19"/>
        <v>522818.18181818177</v>
      </c>
    </row>
    <row r="1199" spans="1:7" ht="17.25" x14ac:dyDescent="0.3">
      <c r="A1199" s="23" t="s">
        <v>289</v>
      </c>
      <c r="B1199" s="22" t="s">
        <v>23</v>
      </c>
      <c r="C1199" s="4" t="s">
        <v>342</v>
      </c>
      <c r="D1199" s="4" t="s">
        <v>61</v>
      </c>
      <c r="E1199" s="7">
        <v>66</v>
      </c>
      <c r="F1199" s="5">
        <f>IFERROR(VLOOKUP(D1199, Sheet2!$A:$C, 3, FALSE), 0)</f>
        <v>7363.6363636363631</v>
      </c>
      <c r="G1199" s="6">
        <f t="shared" si="19"/>
        <v>485999.99999999994</v>
      </c>
    </row>
    <row r="1200" spans="1:7" ht="17.25" x14ac:dyDescent="0.3">
      <c r="A1200" s="22" t="s">
        <v>289</v>
      </c>
      <c r="B1200" s="22" t="s">
        <v>48</v>
      </c>
      <c r="C1200" s="4" t="s">
        <v>337</v>
      </c>
      <c r="D1200" s="4" t="s">
        <v>113</v>
      </c>
      <c r="E1200" s="7">
        <v>1130</v>
      </c>
      <c r="F1200" s="5">
        <f>IFERROR(VLOOKUP(D1200, Sheet2!$A:$C, 3, FALSE), 0)</f>
        <v>20727.272727272724</v>
      </c>
      <c r="G1200" s="6">
        <f t="shared" si="19"/>
        <v>23421818.18181818</v>
      </c>
    </row>
    <row r="1201" spans="1:7" ht="17.25" x14ac:dyDescent="0.3">
      <c r="A1201" s="23" t="s">
        <v>289</v>
      </c>
      <c r="B1201" s="22" t="s">
        <v>29</v>
      </c>
      <c r="C1201" s="4" t="s">
        <v>215</v>
      </c>
      <c r="D1201" s="11" t="s">
        <v>143</v>
      </c>
      <c r="E1201" s="7">
        <v>443</v>
      </c>
      <c r="F1201" s="5">
        <f>IFERROR(VLOOKUP(D1201, Sheet2!$A:$C, 3, FALSE), 0)</f>
        <v>15454.545454545454</v>
      </c>
      <c r="G1201" s="6">
        <f t="shared" si="19"/>
        <v>6846363.6363636358</v>
      </c>
    </row>
    <row r="1202" spans="1:7" ht="17.25" x14ac:dyDescent="0.3">
      <c r="A1202" s="22" t="s">
        <v>289</v>
      </c>
      <c r="B1202" s="22" t="s">
        <v>16</v>
      </c>
      <c r="C1202" s="4" t="s">
        <v>216</v>
      </c>
      <c r="D1202" s="3" t="s">
        <v>37</v>
      </c>
      <c r="E1202" s="7">
        <v>834</v>
      </c>
      <c r="F1202" s="5">
        <f>IFERROR(VLOOKUP(D1202, Sheet2!$A:$C, 3, FALSE), 0)</f>
        <v>6799.9999999999991</v>
      </c>
      <c r="G1202" s="6">
        <f t="shared" si="19"/>
        <v>5671199.9999999991</v>
      </c>
    </row>
    <row r="1203" spans="1:7" ht="17.25" x14ac:dyDescent="0.3">
      <c r="A1203" s="22" t="s">
        <v>289</v>
      </c>
      <c r="B1203" s="22" t="s">
        <v>11</v>
      </c>
      <c r="C1203" s="4" t="s">
        <v>344</v>
      </c>
      <c r="D1203" s="4" t="s">
        <v>15</v>
      </c>
      <c r="E1203" s="7">
        <v>301</v>
      </c>
      <c r="F1203" s="5">
        <f>IFERROR(VLOOKUP(D1203, Sheet2!$A:$C, 3, FALSE), 0)</f>
        <v>3863.6363636363635</v>
      </c>
      <c r="G1203" s="6">
        <f t="shared" si="19"/>
        <v>1162954.5454545454</v>
      </c>
    </row>
    <row r="1204" spans="1:7" ht="17.25" x14ac:dyDescent="0.3">
      <c r="A1204" s="23" t="s">
        <v>289</v>
      </c>
      <c r="B1204" s="22" t="s">
        <v>27</v>
      </c>
      <c r="C1204" s="4" t="s">
        <v>215</v>
      </c>
      <c r="D1204" s="3" t="s">
        <v>143</v>
      </c>
      <c r="E1204" s="7">
        <v>540</v>
      </c>
      <c r="F1204" s="5">
        <f>IFERROR(VLOOKUP(D1204, Sheet2!$A:$C, 3, FALSE), 0)</f>
        <v>15454.545454545454</v>
      </c>
      <c r="G1204" s="6">
        <f t="shared" si="19"/>
        <v>8345454.5454545449</v>
      </c>
    </row>
    <row r="1205" spans="1:7" ht="17.25" x14ac:dyDescent="0.3">
      <c r="A1205" s="22" t="s">
        <v>289</v>
      </c>
      <c r="B1205" s="22" t="s">
        <v>30</v>
      </c>
      <c r="C1205" s="4" t="s">
        <v>339</v>
      </c>
      <c r="D1205" s="4" t="s">
        <v>67</v>
      </c>
      <c r="E1205" s="7">
        <v>644</v>
      </c>
      <c r="F1205" s="5">
        <f>IFERROR(VLOOKUP(D1205, Sheet2!$A:$C, 3, FALSE), 0)</f>
        <v>10818.181818181818</v>
      </c>
      <c r="G1205" s="6">
        <f t="shared" si="19"/>
        <v>6966909.0909090908</v>
      </c>
    </row>
    <row r="1206" spans="1:7" ht="17.25" x14ac:dyDescent="0.3">
      <c r="A1206" s="22" t="s">
        <v>289</v>
      </c>
      <c r="B1206" s="22" t="s">
        <v>30</v>
      </c>
      <c r="C1206" s="4" t="s">
        <v>339</v>
      </c>
      <c r="D1206" s="4" t="s">
        <v>117</v>
      </c>
      <c r="E1206" s="7">
        <v>847</v>
      </c>
      <c r="F1206" s="5">
        <f>IFERROR(VLOOKUP(D1206, Sheet2!$A:$C, 3, FALSE), 0)</f>
        <v>11363.636363636362</v>
      </c>
      <c r="G1206" s="6">
        <f t="shared" si="19"/>
        <v>9624999.9999999981</v>
      </c>
    </row>
    <row r="1207" spans="1:7" ht="17.25" x14ac:dyDescent="0.3">
      <c r="A1207" s="23" t="s">
        <v>289</v>
      </c>
      <c r="B1207" s="22" t="s">
        <v>43</v>
      </c>
      <c r="C1207" s="4" t="s">
        <v>215</v>
      </c>
      <c r="D1207" s="4" t="s">
        <v>177</v>
      </c>
      <c r="E1207" s="7">
        <v>484</v>
      </c>
      <c r="F1207" s="5">
        <f>IFERROR(VLOOKUP(D1207, Sheet2!$A:$C, 3, FALSE), 0)</f>
        <v>10000</v>
      </c>
      <c r="G1207" s="6">
        <f t="shared" si="19"/>
        <v>4840000</v>
      </c>
    </row>
    <row r="1208" spans="1:7" ht="17.25" x14ac:dyDescent="0.3">
      <c r="A1208" s="22" t="s">
        <v>289</v>
      </c>
      <c r="B1208" s="22" t="s">
        <v>30</v>
      </c>
      <c r="C1208" s="4" t="s">
        <v>339</v>
      </c>
      <c r="D1208" s="4" t="s">
        <v>67</v>
      </c>
      <c r="E1208" s="7">
        <v>644</v>
      </c>
      <c r="F1208" s="5">
        <f>IFERROR(VLOOKUP(D1208, Sheet2!$A:$C, 3, FALSE), 0)</f>
        <v>10818.181818181818</v>
      </c>
      <c r="G1208" s="6">
        <f t="shared" si="19"/>
        <v>6966909.0909090908</v>
      </c>
    </row>
    <row r="1209" spans="1:7" ht="17.25" x14ac:dyDescent="0.3">
      <c r="A1209" s="22" t="s">
        <v>289</v>
      </c>
      <c r="B1209" s="22" t="s">
        <v>30</v>
      </c>
      <c r="C1209" s="4" t="s">
        <v>339</v>
      </c>
      <c r="D1209" s="4" t="s">
        <v>117</v>
      </c>
      <c r="E1209" s="7">
        <v>847</v>
      </c>
      <c r="F1209" s="5">
        <f>IFERROR(VLOOKUP(D1209, Sheet2!$A:$C, 3, FALSE), 0)</f>
        <v>11363.636363636362</v>
      </c>
      <c r="G1209" s="6">
        <f t="shared" si="19"/>
        <v>9624999.9999999981</v>
      </c>
    </row>
    <row r="1210" spans="1:7" ht="17.25" x14ac:dyDescent="0.3">
      <c r="A1210" s="23" t="s">
        <v>289</v>
      </c>
      <c r="B1210" s="22" t="s">
        <v>43</v>
      </c>
      <c r="C1210" s="4" t="s">
        <v>215</v>
      </c>
      <c r="D1210" s="4" t="s">
        <v>177</v>
      </c>
      <c r="E1210" s="7">
        <v>484</v>
      </c>
      <c r="F1210" s="5">
        <f>IFERROR(VLOOKUP(D1210, Sheet2!$A:$C, 3, FALSE), 0)</f>
        <v>10000</v>
      </c>
      <c r="G1210" s="6">
        <f t="shared" si="19"/>
        <v>4840000</v>
      </c>
    </row>
    <row r="1211" spans="1:7" ht="17.25" x14ac:dyDescent="0.3">
      <c r="A1211" s="22" t="s">
        <v>289</v>
      </c>
      <c r="B1211" s="22" t="s">
        <v>33</v>
      </c>
      <c r="C1211" s="4" t="s">
        <v>344</v>
      </c>
      <c r="D1211" s="3" t="s">
        <v>20</v>
      </c>
      <c r="E1211" s="7">
        <v>230</v>
      </c>
      <c r="F1211" s="5">
        <f>IFERROR(VLOOKUP(D1211, Sheet2!$A:$C, 3, FALSE), 0)</f>
        <v>6999.9999999999991</v>
      </c>
      <c r="G1211" s="6">
        <f t="shared" si="19"/>
        <v>1609999.9999999998</v>
      </c>
    </row>
    <row r="1212" spans="1:7" ht="17.25" x14ac:dyDescent="0.3">
      <c r="A1212" s="22" t="s">
        <v>289</v>
      </c>
      <c r="B1212" s="22" t="s">
        <v>33</v>
      </c>
      <c r="C1212" s="4" t="s">
        <v>341</v>
      </c>
      <c r="D1212" s="4" t="s">
        <v>17</v>
      </c>
      <c r="E1212" s="7">
        <v>31</v>
      </c>
      <c r="F1212" s="5">
        <f>IFERROR(VLOOKUP(D1212, Sheet2!$A:$C, 3, FALSE), 0)</f>
        <v>11700</v>
      </c>
      <c r="G1212" s="6">
        <f t="shared" si="19"/>
        <v>362700</v>
      </c>
    </row>
    <row r="1213" spans="1:7" ht="17.25" x14ac:dyDescent="0.3">
      <c r="A1213" s="22" t="s">
        <v>289</v>
      </c>
      <c r="B1213" s="22" t="s">
        <v>33</v>
      </c>
      <c r="C1213" s="4" t="s">
        <v>342</v>
      </c>
      <c r="D1213" s="4" t="s">
        <v>61</v>
      </c>
      <c r="E1213" s="7">
        <v>66</v>
      </c>
      <c r="F1213" s="5">
        <f>IFERROR(VLOOKUP(D1213, Sheet2!$A:$C, 3, FALSE), 0)</f>
        <v>7363.6363636363631</v>
      </c>
      <c r="G1213" s="6">
        <f t="shared" si="19"/>
        <v>485999.99999999994</v>
      </c>
    </row>
    <row r="1214" spans="1:7" ht="17.25" x14ac:dyDescent="0.3">
      <c r="A1214" s="22" t="s">
        <v>290</v>
      </c>
      <c r="B1214" s="22" t="s">
        <v>24</v>
      </c>
      <c r="C1214" s="4" t="s">
        <v>338</v>
      </c>
      <c r="D1214" s="4" t="s">
        <v>36</v>
      </c>
      <c r="E1214" s="7">
        <v>278</v>
      </c>
      <c r="F1214" s="5">
        <f>IFERROR(VLOOKUP(D1214, Sheet2!$A:$C, 3, FALSE), 0)</f>
        <v>7899.9999999999991</v>
      </c>
      <c r="G1214" s="6">
        <f t="shared" si="19"/>
        <v>2196199.9999999995</v>
      </c>
    </row>
    <row r="1215" spans="1:7" ht="17.25" x14ac:dyDescent="0.3">
      <c r="A1215" s="22" t="s">
        <v>290</v>
      </c>
      <c r="B1215" s="22" t="s">
        <v>23</v>
      </c>
      <c r="C1215" s="4" t="s">
        <v>215</v>
      </c>
      <c r="D1215" s="4" t="s">
        <v>264</v>
      </c>
      <c r="E1215" s="7">
        <v>431</v>
      </c>
      <c r="F1215" s="5">
        <f>IFERROR(VLOOKUP(D1215, Sheet2!$A:$C, 3, FALSE), 0)</f>
        <v>4454.545454545454</v>
      </c>
      <c r="G1215" s="6">
        <f t="shared" si="19"/>
        <v>1919909.0909090906</v>
      </c>
    </row>
    <row r="1216" spans="1:7" ht="17.25" x14ac:dyDescent="0.3">
      <c r="A1216" s="22" t="s">
        <v>290</v>
      </c>
      <c r="B1216" s="22" t="s">
        <v>23</v>
      </c>
      <c r="C1216" s="4" t="s">
        <v>342</v>
      </c>
      <c r="D1216" s="4" t="s">
        <v>61</v>
      </c>
      <c r="E1216" s="7">
        <v>71</v>
      </c>
      <c r="F1216" s="5">
        <f>IFERROR(VLOOKUP(D1216, Sheet2!$A:$C, 3, FALSE), 0)</f>
        <v>7363.6363636363631</v>
      </c>
      <c r="G1216" s="6">
        <f t="shared" si="19"/>
        <v>522818.18181818177</v>
      </c>
    </row>
    <row r="1217" spans="1:7" ht="17.25" x14ac:dyDescent="0.3">
      <c r="A1217" s="22" t="s">
        <v>290</v>
      </c>
      <c r="B1217" s="22" t="s">
        <v>30</v>
      </c>
      <c r="C1217" s="4" t="s">
        <v>342</v>
      </c>
      <c r="D1217" s="4" t="s">
        <v>61</v>
      </c>
      <c r="E1217" s="7">
        <v>66</v>
      </c>
      <c r="F1217" s="5">
        <f>IFERROR(VLOOKUP(D1217, Sheet2!$A:$C, 3, FALSE), 0)</f>
        <v>7363.6363636363631</v>
      </c>
      <c r="G1217" s="6">
        <f t="shared" si="19"/>
        <v>485999.99999999994</v>
      </c>
    </row>
    <row r="1218" spans="1:7" ht="17.25" x14ac:dyDescent="0.3">
      <c r="A1218" s="22" t="s">
        <v>290</v>
      </c>
      <c r="B1218" s="22" t="s">
        <v>30</v>
      </c>
      <c r="C1218" s="4" t="s">
        <v>339</v>
      </c>
      <c r="D1218" s="4" t="s">
        <v>67</v>
      </c>
      <c r="E1218" s="7">
        <v>644</v>
      </c>
      <c r="F1218" s="5">
        <f>IFERROR(VLOOKUP(D1218, Sheet2!$A:$C, 3, FALSE), 0)</f>
        <v>10818.181818181818</v>
      </c>
      <c r="G1218" s="6">
        <f t="shared" si="19"/>
        <v>6966909.0909090908</v>
      </c>
    </row>
    <row r="1219" spans="1:7" ht="17.25" x14ac:dyDescent="0.3">
      <c r="A1219" s="22" t="s">
        <v>290</v>
      </c>
      <c r="B1219" s="22" t="s">
        <v>43</v>
      </c>
      <c r="C1219" s="4" t="s">
        <v>339</v>
      </c>
      <c r="D1219" s="4" t="s">
        <v>117</v>
      </c>
      <c r="E1219" s="7">
        <v>847</v>
      </c>
      <c r="F1219" s="5">
        <f>IFERROR(VLOOKUP(D1219, Sheet2!$A:$C, 3, FALSE), 0)</f>
        <v>11363.636363636362</v>
      </c>
      <c r="G1219" s="6">
        <f t="shared" si="19"/>
        <v>9624999.9999999981</v>
      </c>
    </row>
    <row r="1220" spans="1:7" ht="17.25" x14ac:dyDescent="0.3">
      <c r="A1220" s="22" t="s">
        <v>290</v>
      </c>
      <c r="B1220" s="22" t="s">
        <v>93</v>
      </c>
      <c r="C1220" s="4" t="s">
        <v>215</v>
      </c>
      <c r="D1220" s="4" t="s">
        <v>177</v>
      </c>
      <c r="E1220" s="7">
        <v>484</v>
      </c>
      <c r="F1220" s="5">
        <f>IFERROR(VLOOKUP(D1220, Sheet2!$A:$C, 3, FALSE), 0)</f>
        <v>10000</v>
      </c>
      <c r="G1220" s="6">
        <f t="shared" si="19"/>
        <v>4840000</v>
      </c>
    </row>
    <row r="1221" spans="1:7" ht="17.25" x14ac:dyDescent="0.3">
      <c r="A1221" s="22" t="s">
        <v>290</v>
      </c>
      <c r="B1221" s="22" t="s">
        <v>103</v>
      </c>
      <c r="C1221" s="4" t="s">
        <v>337</v>
      </c>
      <c r="D1221" s="3" t="s">
        <v>9</v>
      </c>
      <c r="E1221" s="7">
        <v>1667</v>
      </c>
      <c r="F1221" s="5">
        <f>IFERROR(VLOOKUP(D1221, Sheet2!$A:$C, 3, FALSE), 0)</f>
        <v>18636.363636363636</v>
      </c>
      <c r="G1221" s="6">
        <f t="shared" si="19"/>
        <v>31066818.18181818</v>
      </c>
    </row>
    <row r="1222" spans="1:7" ht="17.25" x14ac:dyDescent="0.3">
      <c r="A1222" s="22" t="s">
        <v>290</v>
      </c>
      <c r="B1222" s="22" t="s">
        <v>23</v>
      </c>
      <c r="C1222" s="4" t="s">
        <v>338</v>
      </c>
      <c r="D1222" s="3" t="s">
        <v>36</v>
      </c>
      <c r="E1222" s="7">
        <v>630</v>
      </c>
      <c r="F1222" s="5">
        <f>IFERROR(VLOOKUP(D1222, Sheet2!$A:$C, 3, FALSE), 0)</f>
        <v>7899.9999999999991</v>
      </c>
      <c r="G1222" s="6">
        <f t="shared" si="19"/>
        <v>4976999.9999999991</v>
      </c>
    </row>
    <row r="1223" spans="1:7" ht="17.25" x14ac:dyDescent="0.3">
      <c r="A1223" s="23" t="s">
        <v>290</v>
      </c>
      <c r="B1223" s="22" t="s">
        <v>43</v>
      </c>
      <c r="C1223" s="4" t="s">
        <v>342</v>
      </c>
      <c r="D1223" s="4" t="s">
        <v>61</v>
      </c>
      <c r="E1223" s="7">
        <v>48</v>
      </c>
      <c r="F1223" s="5">
        <f>IFERROR(VLOOKUP(D1223, Sheet2!$A:$C, 3, FALSE), 0)</f>
        <v>7363.6363636363631</v>
      </c>
      <c r="G1223" s="6">
        <f t="shared" si="19"/>
        <v>353454.54545454541</v>
      </c>
    </row>
    <row r="1224" spans="1:7" ht="17.25" x14ac:dyDescent="0.3">
      <c r="A1224" s="23" t="s">
        <v>290</v>
      </c>
      <c r="B1224" s="22" t="s">
        <v>43</v>
      </c>
      <c r="C1224" s="4" t="s">
        <v>344</v>
      </c>
      <c r="D1224" s="11" t="s">
        <v>15</v>
      </c>
      <c r="E1224" s="10">
        <v>174</v>
      </c>
      <c r="F1224" s="5">
        <f>IFERROR(VLOOKUP(D1224, Sheet2!$A:$C, 3, FALSE), 0)</f>
        <v>3863.6363636363635</v>
      </c>
      <c r="G1224" s="6">
        <f t="shared" si="19"/>
        <v>672272.72727272729</v>
      </c>
    </row>
    <row r="1225" spans="1:7" ht="17.25" x14ac:dyDescent="0.3">
      <c r="A1225" s="22" t="s">
        <v>290</v>
      </c>
      <c r="B1225" s="22" t="s">
        <v>33</v>
      </c>
      <c r="C1225" s="4" t="s">
        <v>341</v>
      </c>
      <c r="D1225" s="4" t="s">
        <v>68</v>
      </c>
      <c r="E1225" s="7">
        <v>138</v>
      </c>
      <c r="F1225" s="5">
        <f>IFERROR(VLOOKUP(D1225, Sheet2!$A:$C, 3, FALSE), 0)</f>
        <v>13400</v>
      </c>
      <c r="G1225" s="6">
        <f t="shared" si="19"/>
        <v>1849200</v>
      </c>
    </row>
    <row r="1226" spans="1:7" ht="17.25" x14ac:dyDescent="0.3">
      <c r="A1226" s="22" t="s">
        <v>290</v>
      </c>
      <c r="B1226" s="25" t="s">
        <v>33</v>
      </c>
      <c r="C1226" s="4" t="s">
        <v>344</v>
      </c>
      <c r="D1226" s="3" t="s">
        <v>20</v>
      </c>
      <c r="E1226" s="7">
        <v>65</v>
      </c>
      <c r="F1226" s="5">
        <f>IFERROR(VLOOKUP(D1226, Sheet2!$A:$C, 3, FALSE), 0)</f>
        <v>6999.9999999999991</v>
      </c>
      <c r="G1226" s="6">
        <f t="shared" si="19"/>
        <v>454999.99999999994</v>
      </c>
    </row>
    <row r="1227" spans="1:7" ht="17.25" x14ac:dyDescent="0.3">
      <c r="A1227" s="22" t="s">
        <v>290</v>
      </c>
      <c r="B1227" s="22" t="s">
        <v>95</v>
      </c>
      <c r="C1227" s="4" t="s">
        <v>341</v>
      </c>
      <c r="D1227" s="4" t="s">
        <v>110</v>
      </c>
      <c r="E1227" s="7">
        <v>63</v>
      </c>
      <c r="F1227" s="5">
        <f>IFERROR(VLOOKUP(D1227, Sheet2!$A:$C, 3, FALSE), 0)</f>
        <v>2500</v>
      </c>
      <c r="G1227" s="6">
        <f t="shared" si="19"/>
        <v>157500</v>
      </c>
    </row>
    <row r="1228" spans="1:7" ht="17.25" x14ac:dyDescent="0.3">
      <c r="A1228" s="22" t="s">
        <v>290</v>
      </c>
      <c r="B1228" s="22" t="s">
        <v>51</v>
      </c>
      <c r="C1228" s="4" t="s">
        <v>344</v>
      </c>
      <c r="D1228" s="3" t="s">
        <v>53</v>
      </c>
      <c r="E1228" s="7">
        <v>536</v>
      </c>
      <c r="F1228" s="5">
        <f>IFERROR(VLOOKUP(D1228, Sheet2!$A:$C, 3, FALSE), 0)</f>
        <v>5818.181818181818</v>
      </c>
      <c r="G1228" s="6">
        <f t="shared" si="19"/>
        <v>3118545.4545454546</v>
      </c>
    </row>
    <row r="1229" spans="1:7" ht="17.25" x14ac:dyDescent="0.3">
      <c r="A1229" s="23" t="s">
        <v>290</v>
      </c>
      <c r="B1229" s="22" t="s">
        <v>23</v>
      </c>
      <c r="C1229" s="4" t="s">
        <v>344</v>
      </c>
      <c r="D1229" s="3" t="s">
        <v>53</v>
      </c>
      <c r="E1229" s="7">
        <v>593</v>
      </c>
      <c r="F1229" s="5">
        <f>IFERROR(VLOOKUP(D1229, Sheet2!$A:$C, 3, FALSE), 0)</f>
        <v>5818.181818181818</v>
      </c>
      <c r="G1229" s="6">
        <f t="shared" si="19"/>
        <v>3450181.8181818179</v>
      </c>
    </row>
    <row r="1230" spans="1:7" ht="17.25" x14ac:dyDescent="0.3">
      <c r="A1230" s="22" t="s">
        <v>291</v>
      </c>
      <c r="B1230" s="22" t="s">
        <v>23</v>
      </c>
      <c r="C1230" s="4" t="s">
        <v>342</v>
      </c>
      <c r="D1230" s="4" t="s">
        <v>61</v>
      </c>
      <c r="E1230" s="7">
        <v>49</v>
      </c>
      <c r="F1230" s="5">
        <f>IFERROR(VLOOKUP(D1230, Sheet2!$A:$C, 3, FALSE), 0)</f>
        <v>7363.6363636363631</v>
      </c>
      <c r="G1230" s="6">
        <f t="shared" si="19"/>
        <v>360818.18181818177</v>
      </c>
    </row>
    <row r="1231" spans="1:7" ht="17.25" x14ac:dyDescent="0.3">
      <c r="A1231" s="22" t="s">
        <v>291</v>
      </c>
      <c r="B1231" s="22" t="s">
        <v>75</v>
      </c>
      <c r="C1231" s="4" t="s">
        <v>342</v>
      </c>
      <c r="D1231" s="4" t="s">
        <v>61</v>
      </c>
      <c r="E1231" s="7">
        <v>40</v>
      </c>
      <c r="F1231" s="5">
        <f>IFERROR(VLOOKUP(D1231, Sheet2!$A:$C, 3, FALSE), 0)</f>
        <v>7363.6363636363631</v>
      </c>
      <c r="G1231" s="6">
        <f t="shared" si="19"/>
        <v>294545.45454545453</v>
      </c>
    </row>
    <row r="1232" spans="1:7" ht="17.25" x14ac:dyDescent="0.3">
      <c r="A1232" s="22" t="s">
        <v>291</v>
      </c>
      <c r="B1232" s="22" t="s">
        <v>63</v>
      </c>
      <c r="C1232" s="4" t="s">
        <v>344</v>
      </c>
      <c r="D1232" s="3" t="s">
        <v>22</v>
      </c>
      <c r="E1232" s="7">
        <v>119</v>
      </c>
      <c r="F1232" s="5">
        <f>IFERROR(VLOOKUP(D1232, Sheet2!$A:$C, 3, FALSE), 0)</f>
        <v>5999.9999999999991</v>
      </c>
      <c r="G1232" s="6">
        <f t="shared" si="19"/>
        <v>713999.99999999988</v>
      </c>
    </row>
    <row r="1233" spans="1:7" ht="17.25" x14ac:dyDescent="0.3">
      <c r="A1233" s="23" t="s">
        <v>291</v>
      </c>
      <c r="B1233" s="22" t="s">
        <v>63</v>
      </c>
      <c r="C1233" s="4" t="s">
        <v>339</v>
      </c>
      <c r="D1233" s="3" t="s">
        <v>97</v>
      </c>
      <c r="E1233" s="7">
        <v>840</v>
      </c>
      <c r="F1233" s="5">
        <f>IFERROR(VLOOKUP(D1233, Sheet2!$A:$C, 3, FALSE), 0)</f>
        <v>17181.81818181818</v>
      </c>
      <c r="G1233" s="6">
        <f t="shared" si="19"/>
        <v>14432727.272727272</v>
      </c>
    </row>
    <row r="1234" spans="1:7" ht="17.25" x14ac:dyDescent="0.3">
      <c r="A1234" s="23" t="s">
        <v>291</v>
      </c>
      <c r="B1234" s="22" t="s">
        <v>14</v>
      </c>
      <c r="C1234" s="4" t="s">
        <v>339</v>
      </c>
      <c r="D1234" s="3" t="s">
        <v>108</v>
      </c>
      <c r="E1234" s="7">
        <v>906</v>
      </c>
      <c r="F1234" s="5">
        <f>IFERROR(VLOOKUP(D1234, Sheet2!$A:$C, 3, FALSE), 0)</f>
        <v>12272.727272727272</v>
      </c>
      <c r="G1234" s="6">
        <f t="shared" si="19"/>
        <v>11119090.909090908</v>
      </c>
    </row>
    <row r="1235" spans="1:7" ht="17.25" x14ac:dyDescent="0.3">
      <c r="A1235" s="22" t="s">
        <v>291</v>
      </c>
      <c r="B1235" s="25" t="s">
        <v>33</v>
      </c>
      <c r="C1235" s="4" t="s">
        <v>337</v>
      </c>
      <c r="D1235" s="3" t="s">
        <v>122</v>
      </c>
      <c r="E1235" s="7">
        <v>618</v>
      </c>
      <c r="F1235" s="5">
        <f>IFERROR(VLOOKUP(D1235, Sheet2!$A:$C, 3, FALSE), 0)</f>
        <v>8181.8181818181811</v>
      </c>
      <c r="G1235" s="6">
        <f t="shared" si="19"/>
        <v>5056363.6363636358</v>
      </c>
    </row>
    <row r="1236" spans="1:7" ht="17.25" x14ac:dyDescent="0.3">
      <c r="A1236" s="22" t="s">
        <v>291</v>
      </c>
      <c r="B1236" s="22" t="s">
        <v>33</v>
      </c>
      <c r="C1236" s="4" t="s">
        <v>341</v>
      </c>
      <c r="D1236" s="4" t="s">
        <v>110</v>
      </c>
      <c r="E1236" s="7">
        <v>68</v>
      </c>
      <c r="F1236" s="5">
        <f>IFERROR(VLOOKUP(D1236, Sheet2!$A:$C, 3, FALSE), 0)</f>
        <v>2500</v>
      </c>
      <c r="G1236" s="6">
        <f t="shared" si="19"/>
        <v>170000</v>
      </c>
    </row>
    <row r="1237" spans="1:7" ht="17.25" x14ac:dyDescent="0.3">
      <c r="A1237" s="23" t="s">
        <v>291</v>
      </c>
      <c r="B1237" s="22" t="s">
        <v>60</v>
      </c>
      <c r="C1237" s="4" t="s">
        <v>341</v>
      </c>
      <c r="D1237" s="4" t="s">
        <v>17</v>
      </c>
      <c r="E1237" s="7">
        <v>136</v>
      </c>
      <c r="F1237" s="5">
        <f>IFERROR(VLOOKUP(D1237, Sheet2!$A:$C, 3, FALSE), 0)</f>
        <v>11700</v>
      </c>
      <c r="G1237" s="6">
        <f t="shared" si="19"/>
        <v>1591200</v>
      </c>
    </row>
    <row r="1238" spans="1:7" ht="17.25" x14ac:dyDescent="0.3">
      <c r="A1238" s="23" t="s">
        <v>291</v>
      </c>
      <c r="B1238" s="22" t="s">
        <v>23</v>
      </c>
      <c r="C1238" s="4" t="s">
        <v>337</v>
      </c>
      <c r="D1238" s="3" t="s">
        <v>55</v>
      </c>
      <c r="E1238" s="7">
        <v>616</v>
      </c>
      <c r="F1238" s="5">
        <f>IFERROR(VLOOKUP(D1238, Sheet2!$A:$C, 3, FALSE), 0)</f>
        <v>14899.999999999998</v>
      </c>
      <c r="G1238" s="6">
        <f t="shared" si="19"/>
        <v>9178399.9999999981</v>
      </c>
    </row>
    <row r="1239" spans="1:7" ht="17.25" x14ac:dyDescent="0.3">
      <c r="A1239" s="23" t="s">
        <v>292</v>
      </c>
      <c r="B1239" s="22" t="s">
        <v>102</v>
      </c>
      <c r="C1239" s="4" t="s">
        <v>342</v>
      </c>
      <c r="D1239" s="4" t="s">
        <v>61</v>
      </c>
      <c r="E1239" s="7">
        <v>43</v>
      </c>
      <c r="F1239" s="5">
        <f>IFERROR(VLOOKUP(D1239, Sheet2!$A:$C, 3, FALSE), 0)</f>
        <v>7363.6363636363631</v>
      </c>
      <c r="G1239" s="6">
        <f t="shared" si="19"/>
        <v>316636.36363636359</v>
      </c>
    </row>
    <row r="1240" spans="1:7" ht="17.25" x14ac:dyDescent="0.3">
      <c r="A1240" s="23" t="s">
        <v>292</v>
      </c>
      <c r="B1240" s="22" t="s">
        <v>8</v>
      </c>
      <c r="C1240" s="4" t="s">
        <v>337</v>
      </c>
      <c r="D1240" s="3" t="s">
        <v>9</v>
      </c>
      <c r="E1240" s="7">
        <v>484</v>
      </c>
      <c r="F1240" s="5">
        <f>IFERROR(VLOOKUP(D1240, Sheet2!$A:$C, 3, FALSE), 0)</f>
        <v>18636.363636363636</v>
      </c>
      <c r="G1240" s="6">
        <f t="shared" si="19"/>
        <v>9020000</v>
      </c>
    </row>
    <row r="1241" spans="1:7" ht="17.25" x14ac:dyDescent="0.3">
      <c r="A1241" s="22" t="s">
        <v>292</v>
      </c>
      <c r="B1241" s="22" t="s">
        <v>5</v>
      </c>
      <c r="C1241" s="4" t="s">
        <v>342</v>
      </c>
      <c r="D1241" s="11" t="s">
        <v>35</v>
      </c>
      <c r="E1241" s="7">
        <v>77</v>
      </c>
      <c r="F1241" s="5">
        <f>IFERROR(VLOOKUP(D1241, Sheet2!$A:$C, 3, FALSE), 0)</f>
        <v>8363.6363636363621</v>
      </c>
      <c r="G1241" s="6">
        <f t="shared" si="19"/>
        <v>643999.99999999988</v>
      </c>
    </row>
    <row r="1242" spans="1:7" ht="17.25" x14ac:dyDescent="0.3">
      <c r="A1242" s="22" t="s">
        <v>293</v>
      </c>
      <c r="B1242" s="22" t="s">
        <v>21</v>
      </c>
      <c r="C1242" s="4" t="s">
        <v>337</v>
      </c>
      <c r="D1242" s="3" t="s">
        <v>6</v>
      </c>
      <c r="E1242" s="7">
        <v>941</v>
      </c>
      <c r="F1242" s="5">
        <f>IFERROR(VLOOKUP(D1242, Sheet2!$A:$C, 3, FALSE), 0)</f>
        <v>14999.999999999998</v>
      </c>
      <c r="G1242" s="6">
        <f t="shared" si="19"/>
        <v>14114999.999999998</v>
      </c>
    </row>
    <row r="1243" spans="1:7" ht="17.25" x14ac:dyDescent="0.3">
      <c r="A1243" s="22" t="s">
        <v>293</v>
      </c>
      <c r="B1243" s="22" t="s">
        <v>31</v>
      </c>
      <c r="C1243" s="4" t="s">
        <v>344</v>
      </c>
      <c r="D1243" s="3" t="s">
        <v>22</v>
      </c>
      <c r="E1243" s="7">
        <v>125</v>
      </c>
      <c r="F1243" s="5">
        <f>IFERROR(VLOOKUP(D1243, Sheet2!$A:$C, 3, FALSE), 0)</f>
        <v>5999.9999999999991</v>
      </c>
      <c r="G1243" s="6">
        <f t="shared" si="19"/>
        <v>749999.99999999988</v>
      </c>
    </row>
    <row r="1244" spans="1:7" ht="17.25" x14ac:dyDescent="0.3">
      <c r="A1244" s="23" t="s">
        <v>293</v>
      </c>
      <c r="B1244" s="22" t="s">
        <v>31</v>
      </c>
      <c r="C1244" s="4" t="s">
        <v>344</v>
      </c>
      <c r="D1244" s="3" t="s">
        <v>32</v>
      </c>
      <c r="E1244" s="7">
        <v>697</v>
      </c>
      <c r="F1244" s="5">
        <f>IFERROR(VLOOKUP(D1244, Sheet2!$A:$C, 3, FALSE), 0)</f>
        <v>4363.6363636363631</v>
      </c>
      <c r="G1244" s="6">
        <f t="shared" ref="G1244:G1307" si="20">E1244*F1244</f>
        <v>3041454.5454545449</v>
      </c>
    </row>
    <row r="1245" spans="1:7" ht="17.25" x14ac:dyDescent="0.3">
      <c r="A1245" s="22" t="s">
        <v>293</v>
      </c>
      <c r="B1245" s="22" t="s">
        <v>69</v>
      </c>
      <c r="C1245" s="4" t="s">
        <v>343</v>
      </c>
      <c r="D1245" s="3" t="s">
        <v>45</v>
      </c>
      <c r="E1245" s="7">
        <v>802</v>
      </c>
      <c r="F1245" s="5">
        <f>IFERROR(VLOOKUP(D1245, Sheet2!$A:$C, 3, FALSE), 0)</f>
        <v>10909.090909090908</v>
      </c>
      <c r="G1245" s="6">
        <f t="shared" si="20"/>
        <v>8749090.9090909082</v>
      </c>
    </row>
    <row r="1246" spans="1:7" ht="17.25" x14ac:dyDescent="0.3">
      <c r="A1246" s="22" t="s">
        <v>293</v>
      </c>
      <c r="B1246" s="22" t="s">
        <v>150</v>
      </c>
      <c r="C1246" s="4" t="s">
        <v>339</v>
      </c>
      <c r="D1246" s="3" t="s">
        <v>108</v>
      </c>
      <c r="E1246" s="7">
        <v>1380</v>
      </c>
      <c r="F1246" s="5">
        <f>IFERROR(VLOOKUP(D1246, Sheet2!$A:$C, 3, FALSE), 0)</f>
        <v>12272.727272727272</v>
      </c>
      <c r="G1246" s="6">
        <f t="shared" si="20"/>
        <v>16936363.636363637</v>
      </c>
    </row>
    <row r="1247" spans="1:7" ht="17.25" x14ac:dyDescent="0.3">
      <c r="A1247" s="23" t="s">
        <v>293</v>
      </c>
      <c r="B1247" s="22" t="s">
        <v>150</v>
      </c>
      <c r="C1247" s="4" t="s">
        <v>344</v>
      </c>
      <c r="D1247" s="3" t="s">
        <v>32</v>
      </c>
      <c r="E1247" s="7">
        <v>1579</v>
      </c>
      <c r="F1247" s="5">
        <f>IFERROR(VLOOKUP(D1247, Sheet2!$A:$C, 3, FALSE), 0)</f>
        <v>4363.6363636363631</v>
      </c>
      <c r="G1247" s="6">
        <f t="shared" si="20"/>
        <v>6890181.8181818174</v>
      </c>
    </row>
    <row r="1248" spans="1:7" ht="17.25" x14ac:dyDescent="0.3">
      <c r="A1248" s="22" t="s">
        <v>293</v>
      </c>
      <c r="B1248" s="22" t="s">
        <v>24</v>
      </c>
      <c r="C1248" s="4" t="s">
        <v>344</v>
      </c>
      <c r="D1248" s="3" t="s">
        <v>39</v>
      </c>
      <c r="E1248" s="7">
        <v>282</v>
      </c>
      <c r="F1248" s="5">
        <f>IFERROR(VLOOKUP(D1248, Sheet2!$A:$C, 3, FALSE), 0)</f>
        <v>3863.6363636363635</v>
      </c>
      <c r="G1248" s="6">
        <f t="shared" si="20"/>
        <v>1089545.4545454546</v>
      </c>
    </row>
    <row r="1249" spans="1:7" ht="17.25" x14ac:dyDescent="0.3">
      <c r="A1249" s="23" t="s">
        <v>293</v>
      </c>
      <c r="B1249" s="22" t="s">
        <v>24</v>
      </c>
      <c r="C1249" s="4" t="s">
        <v>338</v>
      </c>
      <c r="D1249" s="3" t="s">
        <v>36</v>
      </c>
      <c r="E1249" s="7">
        <v>343</v>
      </c>
      <c r="F1249" s="5">
        <f>IFERROR(VLOOKUP(D1249, Sheet2!$A:$C, 3, FALSE), 0)</f>
        <v>7899.9999999999991</v>
      </c>
      <c r="G1249" s="6">
        <f t="shared" si="20"/>
        <v>2709699.9999999995</v>
      </c>
    </row>
    <row r="1250" spans="1:7" ht="17.25" x14ac:dyDescent="0.3">
      <c r="A1250" s="22" t="s">
        <v>293</v>
      </c>
      <c r="B1250" s="22" t="s">
        <v>75</v>
      </c>
      <c r="C1250" s="4" t="s">
        <v>344</v>
      </c>
      <c r="D1250" s="3" t="s">
        <v>22</v>
      </c>
      <c r="E1250" s="7">
        <v>191</v>
      </c>
      <c r="F1250" s="5">
        <f>IFERROR(VLOOKUP(D1250, Sheet2!$A:$C, 3, FALSE), 0)</f>
        <v>5999.9999999999991</v>
      </c>
      <c r="G1250" s="6">
        <f t="shared" si="20"/>
        <v>1145999.9999999998</v>
      </c>
    </row>
    <row r="1251" spans="1:7" ht="17.25" x14ac:dyDescent="0.3">
      <c r="A1251" s="23" t="s">
        <v>293</v>
      </c>
      <c r="B1251" s="22" t="s">
        <v>48</v>
      </c>
      <c r="C1251" s="4" t="s">
        <v>215</v>
      </c>
      <c r="D1251" s="3" t="s">
        <v>177</v>
      </c>
      <c r="E1251" s="7">
        <v>585</v>
      </c>
      <c r="F1251" s="5">
        <f>IFERROR(VLOOKUP(D1251, Sheet2!$A:$C, 3, FALSE), 0)</f>
        <v>10000</v>
      </c>
      <c r="G1251" s="6">
        <f t="shared" si="20"/>
        <v>5850000</v>
      </c>
    </row>
    <row r="1252" spans="1:7" ht="17.25" x14ac:dyDescent="0.3">
      <c r="A1252" s="23" t="s">
        <v>293</v>
      </c>
      <c r="B1252" s="22" t="s">
        <v>16</v>
      </c>
      <c r="C1252" s="4" t="s">
        <v>337</v>
      </c>
      <c r="D1252" s="3" t="s">
        <v>83</v>
      </c>
      <c r="E1252" s="7">
        <v>576</v>
      </c>
      <c r="F1252" s="5">
        <f>IFERROR(VLOOKUP(D1252, Sheet2!$A:$C, 3, FALSE), 0)</f>
        <v>7636.363636363636</v>
      </c>
      <c r="G1252" s="6">
        <f t="shared" si="20"/>
        <v>4398545.4545454541</v>
      </c>
    </row>
    <row r="1253" spans="1:7" ht="17.25" x14ac:dyDescent="0.3">
      <c r="A1253" s="22" t="s">
        <v>293</v>
      </c>
      <c r="B1253" s="22" t="s">
        <v>16</v>
      </c>
      <c r="C1253" s="4" t="s">
        <v>216</v>
      </c>
      <c r="D1253" s="11" t="s">
        <v>37</v>
      </c>
      <c r="E1253" s="7">
        <v>893</v>
      </c>
      <c r="F1253" s="5">
        <f>IFERROR(VLOOKUP(D1253, Sheet2!$A:$C, 3, FALSE), 0)</f>
        <v>6799.9999999999991</v>
      </c>
      <c r="G1253" s="6">
        <f t="shared" si="20"/>
        <v>6072399.9999999991</v>
      </c>
    </row>
    <row r="1254" spans="1:7" ht="17.25" x14ac:dyDescent="0.3">
      <c r="A1254" s="22" t="s">
        <v>293</v>
      </c>
      <c r="B1254" s="22" t="s">
        <v>60</v>
      </c>
      <c r="C1254" s="4" t="s">
        <v>338</v>
      </c>
      <c r="D1254" s="3" t="s">
        <v>36</v>
      </c>
      <c r="E1254" s="7">
        <v>854</v>
      </c>
      <c r="F1254" s="5">
        <f>IFERROR(VLOOKUP(D1254, Sheet2!$A:$C, 3, FALSE), 0)</f>
        <v>7899.9999999999991</v>
      </c>
      <c r="G1254" s="6">
        <f t="shared" si="20"/>
        <v>6746599.9999999991</v>
      </c>
    </row>
    <row r="1255" spans="1:7" ht="17.25" x14ac:dyDescent="0.3">
      <c r="A1255" s="23" t="s">
        <v>293</v>
      </c>
      <c r="B1255" s="22" t="s">
        <v>18</v>
      </c>
      <c r="C1255" s="4" t="s">
        <v>342</v>
      </c>
      <c r="D1255" s="3" t="s">
        <v>61</v>
      </c>
      <c r="E1255" s="7">
        <v>73</v>
      </c>
      <c r="F1255" s="5">
        <f>IFERROR(VLOOKUP(D1255, Sheet2!$A:$C, 3, FALSE), 0)</f>
        <v>7363.6363636363631</v>
      </c>
      <c r="G1255" s="6">
        <f t="shared" si="20"/>
        <v>537545.45454545447</v>
      </c>
    </row>
    <row r="1256" spans="1:7" ht="17.25" x14ac:dyDescent="0.3">
      <c r="A1256" s="23" t="s">
        <v>293</v>
      </c>
      <c r="B1256" s="22" t="s">
        <v>19</v>
      </c>
      <c r="C1256" s="4" t="s">
        <v>339</v>
      </c>
      <c r="D1256" s="3" t="s">
        <v>97</v>
      </c>
      <c r="E1256" s="7">
        <v>650</v>
      </c>
      <c r="F1256" s="5">
        <f>IFERROR(VLOOKUP(D1256, Sheet2!$A:$C, 3, FALSE), 0)</f>
        <v>17181.81818181818</v>
      </c>
      <c r="G1256" s="6">
        <f t="shared" si="20"/>
        <v>11168181.818181816</v>
      </c>
    </row>
    <row r="1257" spans="1:7" ht="17.25" x14ac:dyDescent="0.3">
      <c r="A1257" s="23" t="s">
        <v>294</v>
      </c>
      <c r="B1257" s="22" t="s">
        <v>31</v>
      </c>
      <c r="C1257" s="4" t="s">
        <v>344</v>
      </c>
      <c r="D1257" s="3" t="s">
        <v>52</v>
      </c>
      <c r="E1257" s="7">
        <v>221</v>
      </c>
      <c r="F1257" s="5">
        <f>IFERROR(VLOOKUP(D1257, Sheet2!$A:$C, 3, FALSE), 0)</f>
        <v>5999.9999999999991</v>
      </c>
      <c r="G1257" s="6">
        <f t="shared" si="20"/>
        <v>1325999.9999999998</v>
      </c>
    </row>
    <row r="1258" spans="1:7" ht="17.25" x14ac:dyDescent="0.3">
      <c r="A1258" s="23" t="s">
        <v>294</v>
      </c>
      <c r="B1258" s="22" t="s">
        <v>25</v>
      </c>
      <c r="C1258" s="4" t="s">
        <v>216</v>
      </c>
      <c r="D1258" s="3" t="s">
        <v>37</v>
      </c>
      <c r="E1258" s="7">
        <v>655</v>
      </c>
      <c r="F1258" s="5">
        <f>IFERROR(VLOOKUP(D1258, Sheet2!$A:$C, 3, FALSE), 0)</f>
        <v>6799.9999999999991</v>
      </c>
      <c r="G1258" s="6">
        <f t="shared" si="20"/>
        <v>4453999.9999999991</v>
      </c>
    </row>
    <row r="1259" spans="1:7" ht="17.25" x14ac:dyDescent="0.3">
      <c r="A1259" s="23" t="s">
        <v>294</v>
      </c>
      <c r="B1259" s="22" t="s">
        <v>25</v>
      </c>
      <c r="C1259" s="4" t="s">
        <v>337</v>
      </c>
      <c r="D1259" s="3" t="s">
        <v>79</v>
      </c>
      <c r="E1259" s="7">
        <v>464</v>
      </c>
      <c r="F1259" s="5">
        <f>IFERROR(VLOOKUP(D1259, Sheet2!$A:$C, 3, FALSE), 0)</f>
        <v>21363.63636363636</v>
      </c>
      <c r="G1259" s="6">
        <f t="shared" si="20"/>
        <v>9912727.2727272715</v>
      </c>
    </row>
    <row r="1260" spans="1:7" ht="17.25" x14ac:dyDescent="0.3">
      <c r="A1260" s="22" t="s">
        <v>294</v>
      </c>
      <c r="B1260" s="22" t="s">
        <v>114</v>
      </c>
      <c r="C1260" s="4" t="s">
        <v>344</v>
      </c>
      <c r="D1260" s="3" t="s">
        <v>15</v>
      </c>
      <c r="E1260" s="7">
        <v>350</v>
      </c>
      <c r="F1260" s="5">
        <f>IFERROR(VLOOKUP(D1260, Sheet2!$A:$C, 3, FALSE), 0)</f>
        <v>3863.6363636363635</v>
      </c>
      <c r="G1260" s="6">
        <f t="shared" si="20"/>
        <v>1352272.7272727273</v>
      </c>
    </row>
    <row r="1261" spans="1:7" ht="17.25" x14ac:dyDescent="0.3">
      <c r="A1261" s="22" t="s">
        <v>294</v>
      </c>
      <c r="B1261" s="22" t="s">
        <v>114</v>
      </c>
      <c r="C1261" s="4" t="s">
        <v>344</v>
      </c>
      <c r="D1261" s="3" t="s">
        <v>15</v>
      </c>
      <c r="E1261" s="7">
        <v>500</v>
      </c>
      <c r="F1261" s="5">
        <f>IFERROR(VLOOKUP(D1261, Sheet2!$A:$C, 3, FALSE), 0)</f>
        <v>3863.6363636363635</v>
      </c>
      <c r="G1261" s="6">
        <f t="shared" si="20"/>
        <v>1931818.1818181816</v>
      </c>
    </row>
    <row r="1262" spans="1:7" ht="17.25" x14ac:dyDescent="0.3">
      <c r="A1262" s="22" t="s">
        <v>294</v>
      </c>
      <c r="B1262" s="22" t="s">
        <v>150</v>
      </c>
      <c r="C1262" s="4" t="s">
        <v>344</v>
      </c>
      <c r="D1262" s="3" t="s">
        <v>39</v>
      </c>
      <c r="E1262" s="7">
        <v>500</v>
      </c>
      <c r="F1262" s="5">
        <f>IFERROR(VLOOKUP(D1262, Sheet2!$A:$C, 3, FALSE), 0)</f>
        <v>3863.6363636363635</v>
      </c>
      <c r="G1262" s="6">
        <f t="shared" si="20"/>
        <v>1931818.1818181816</v>
      </c>
    </row>
    <row r="1263" spans="1:7" ht="17.25" x14ac:dyDescent="0.3">
      <c r="A1263" s="23" t="s">
        <v>294</v>
      </c>
      <c r="B1263" s="22" t="s">
        <v>23</v>
      </c>
      <c r="C1263" s="4" t="s">
        <v>344</v>
      </c>
      <c r="D1263" s="3" t="s">
        <v>39</v>
      </c>
      <c r="E1263" s="7">
        <v>454</v>
      </c>
      <c r="F1263" s="5">
        <f>IFERROR(VLOOKUP(D1263, Sheet2!$A:$C, 3, FALSE), 0)</f>
        <v>3863.6363636363635</v>
      </c>
      <c r="G1263" s="6">
        <f t="shared" si="20"/>
        <v>1754090.9090909089</v>
      </c>
    </row>
    <row r="1264" spans="1:7" ht="17.25" x14ac:dyDescent="0.3">
      <c r="A1264" s="22" t="s">
        <v>294</v>
      </c>
      <c r="B1264" s="22" t="s">
        <v>23</v>
      </c>
      <c r="C1264" s="4" t="s">
        <v>342</v>
      </c>
      <c r="D1264" s="4" t="s">
        <v>61</v>
      </c>
      <c r="E1264" s="7">
        <v>89</v>
      </c>
      <c r="F1264" s="5">
        <f>IFERROR(VLOOKUP(D1264, Sheet2!$A:$C, 3, FALSE), 0)</f>
        <v>7363.6363636363631</v>
      </c>
      <c r="G1264" s="6">
        <f t="shared" si="20"/>
        <v>655363.63636363635</v>
      </c>
    </row>
    <row r="1265" spans="1:7" ht="17.25" x14ac:dyDescent="0.3">
      <c r="A1265" s="22" t="s">
        <v>294</v>
      </c>
      <c r="B1265" s="22" t="s">
        <v>75</v>
      </c>
      <c r="C1265" s="4" t="s">
        <v>342</v>
      </c>
      <c r="D1265" s="4" t="s">
        <v>61</v>
      </c>
      <c r="E1265" s="7">
        <v>81</v>
      </c>
      <c r="F1265" s="5">
        <f>IFERROR(VLOOKUP(D1265, Sheet2!$A:$C, 3, FALSE), 0)</f>
        <v>7363.6363636363631</v>
      </c>
      <c r="G1265" s="6">
        <f t="shared" si="20"/>
        <v>596454.54545454541</v>
      </c>
    </row>
    <row r="1266" spans="1:7" ht="17.25" x14ac:dyDescent="0.3">
      <c r="A1266" s="23" t="s">
        <v>294</v>
      </c>
      <c r="B1266" s="22" t="s">
        <v>48</v>
      </c>
      <c r="C1266" s="4" t="s">
        <v>338</v>
      </c>
      <c r="D1266" s="11" t="s">
        <v>36</v>
      </c>
      <c r="E1266" s="7">
        <v>543</v>
      </c>
      <c r="F1266" s="5">
        <f>IFERROR(VLOOKUP(D1266, Sheet2!$A:$C, 3, FALSE), 0)</f>
        <v>7899.9999999999991</v>
      </c>
      <c r="G1266" s="6">
        <f t="shared" si="20"/>
        <v>4289699.9999999991</v>
      </c>
    </row>
    <row r="1267" spans="1:7" ht="17.25" x14ac:dyDescent="0.3">
      <c r="A1267" s="23" t="s">
        <v>294</v>
      </c>
      <c r="B1267" s="22" t="s">
        <v>11</v>
      </c>
      <c r="C1267" s="4" t="s">
        <v>337</v>
      </c>
      <c r="D1267" s="3" t="s">
        <v>83</v>
      </c>
      <c r="E1267" s="7">
        <v>523</v>
      </c>
      <c r="F1267" s="5">
        <f>IFERROR(VLOOKUP(D1267, Sheet2!$A:$C, 3, FALSE), 0)</f>
        <v>7636.363636363636</v>
      </c>
      <c r="G1267" s="6">
        <f t="shared" si="20"/>
        <v>3993818.1818181816</v>
      </c>
    </row>
    <row r="1268" spans="1:7" ht="17.25" x14ac:dyDescent="0.3">
      <c r="A1268" s="22" t="s">
        <v>294</v>
      </c>
      <c r="B1268" s="22" t="s">
        <v>63</v>
      </c>
      <c r="C1268" s="4" t="s">
        <v>337</v>
      </c>
      <c r="D1268" s="3" t="s">
        <v>79</v>
      </c>
      <c r="E1268" s="7">
        <v>43</v>
      </c>
      <c r="F1268" s="5">
        <f>IFERROR(VLOOKUP(D1268, Sheet2!$A:$C, 3, FALSE), 0)</f>
        <v>21363.63636363636</v>
      </c>
      <c r="G1268" s="6">
        <f t="shared" si="20"/>
        <v>918636.36363636353</v>
      </c>
    </row>
    <row r="1269" spans="1:7" ht="17.25" x14ac:dyDescent="0.3">
      <c r="A1269" s="23" t="s">
        <v>294</v>
      </c>
      <c r="B1269" s="22" t="s">
        <v>63</v>
      </c>
      <c r="C1269" s="4" t="s">
        <v>338</v>
      </c>
      <c r="D1269" s="3" t="s">
        <v>28</v>
      </c>
      <c r="E1269" s="7">
        <v>737</v>
      </c>
      <c r="F1269" s="5">
        <f>IFERROR(VLOOKUP(D1269, Sheet2!$A:$C, 3, FALSE), 0)</f>
        <v>7899.9999999999991</v>
      </c>
      <c r="G1269" s="6">
        <f t="shared" si="20"/>
        <v>5822299.9999999991</v>
      </c>
    </row>
    <row r="1270" spans="1:7" ht="17.25" x14ac:dyDescent="0.3">
      <c r="A1270" s="23" t="s">
        <v>294</v>
      </c>
      <c r="B1270" s="22" t="s">
        <v>43</v>
      </c>
      <c r="C1270" s="4" t="s">
        <v>344</v>
      </c>
      <c r="D1270" s="3" t="s">
        <v>22</v>
      </c>
      <c r="E1270" s="7">
        <v>327</v>
      </c>
      <c r="F1270" s="5">
        <f>IFERROR(VLOOKUP(D1270, Sheet2!$A:$C, 3, FALSE), 0)</f>
        <v>5999.9999999999991</v>
      </c>
      <c r="G1270" s="6">
        <f t="shared" si="20"/>
        <v>1961999.9999999998</v>
      </c>
    </row>
    <row r="1271" spans="1:7" ht="17.25" x14ac:dyDescent="0.3">
      <c r="A1271" s="22" t="s">
        <v>294</v>
      </c>
      <c r="B1271" s="22" t="s">
        <v>33</v>
      </c>
      <c r="C1271" s="4" t="s">
        <v>341</v>
      </c>
      <c r="D1271" s="4" t="s">
        <v>68</v>
      </c>
      <c r="E1271" s="7">
        <v>201</v>
      </c>
      <c r="F1271" s="5">
        <f>IFERROR(VLOOKUP(D1271, Sheet2!$A:$C, 3, FALSE), 0)</f>
        <v>13400</v>
      </c>
      <c r="G1271" s="6">
        <f t="shared" si="20"/>
        <v>2693400</v>
      </c>
    </row>
    <row r="1272" spans="1:7" ht="17.25" x14ac:dyDescent="0.3">
      <c r="A1272" s="22" t="s">
        <v>294</v>
      </c>
      <c r="B1272" s="25" t="s">
        <v>33</v>
      </c>
      <c r="C1272" s="4" t="s">
        <v>344</v>
      </c>
      <c r="D1272" s="3" t="s">
        <v>139</v>
      </c>
      <c r="E1272" s="7">
        <v>354</v>
      </c>
      <c r="F1272" s="5">
        <f>IFERROR(VLOOKUP(D1272, Sheet2!$A:$C, 3, FALSE), 0)</f>
        <v>4363.6363636363631</v>
      </c>
      <c r="G1272" s="6">
        <f t="shared" si="20"/>
        <v>1544727.2727272725</v>
      </c>
    </row>
    <row r="1273" spans="1:7" ht="17.25" x14ac:dyDescent="0.3">
      <c r="A1273" s="22" t="s">
        <v>294</v>
      </c>
      <c r="B1273" s="22" t="s">
        <v>33</v>
      </c>
      <c r="C1273" s="4" t="s">
        <v>341</v>
      </c>
      <c r="D1273" s="4" t="s">
        <v>110</v>
      </c>
      <c r="E1273" s="7">
        <v>87</v>
      </c>
      <c r="F1273" s="5">
        <f>IFERROR(VLOOKUP(D1273, Sheet2!$A:$C, 3, FALSE), 0)</f>
        <v>2500</v>
      </c>
      <c r="G1273" s="6">
        <f t="shared" si="20"/>
        <v>217500</v>
      </c>
    </row>
    <row r="1274" spans="1:7" ht="17.25" x14ac:dyDescent="0.3">
      <c r="A1274" s="23" t="s">
        <v>294</v>
      </c>
      <c r="B1274" s="22" t="s">
        <v>18</v>
      </c>
      <c r="C1274" s="4" t="s">
        <v>341</v>
      </c>
      <c r="D1274" s="4" t="s">
        <v>17</v>
      </c>
      <c r="E1274" s="7">
        <v>116</v>
      </c>
      <c r="F1274" s="5">
        <f>IFERROR(VLOOKUP(D1274, Sheet2!$A:$C, 3, FALSE), 0)</f>
        <v>11700</v>
      </c>
      <c r="G1274" s="6">
        <f t="shared" si="20"/>
        <v>1357200</v>
      </c>
    </row>
    <row r="1275" spans="1:7" ht="17.25" x14ac:dyDescent="0.3">
      <c r="A1275" s="23" t="s">
        <v>294</v>
      </c>
      <c r="B1275" s="22" t="s">
        <v>31</v>
      </c>
      <c r="C1275" s="4" t="s">
        <v>337</v>
      </c>
      <c r="D1275" s="3" t="s">
        <v>6</v>
      </c>
      <c r="E1275" s="7">
        <v>770</v>
      </c>
      <c r="F1275" s="5">
        <f>IFERROR(VLOOKUP(D1275, Sheet2!$A:$C, 3, FALSE), 0)</f>
        <v>14999.999999999998</v>
      </c>
      <c r="G1275" s="6">
        <f t="shared" si="20"/>
        <v>11549999.999999998</v>
      </c>
    </row>
    <row r="1276" spans="1:7" ht="17.25" x14ac:dyDescent="0.3">
      <c r="A1276" s="22" t="s">
        <v>295</v>
      </c>
      <c r="B1276" s="22" t="s">
        <v>66</v>
      </c>
      <c r="C1276" s="4" t="s">
        <v>337</v>
      </c>
      <c r="D1276" s="3" t="s">
        <v>144</v>
      </c>
      <c r="E1276" s="7">
        <v>1253</v>
      </c>
      <c r="F1276" s="5">
        <f>IFERROR(VLOOKUP(D1276, Sheet2!$A:$C, 3, FALSE), 0)</f>
        <v>10272.727272727272</v>
      </c>
      <c r="G1276" s="6">
        <f t="shared" si="20"/>
        <v>12871727.272727272</v>
      </c>
    </row>
    <row r="1277" spans="1:7" ht="17.25" x14ac:dyDescent="0.3">
      <c r="A1277" s="23" t="s">
        <v>296</v>
      </c>
      <c r="B1277" s="22" t="s">
        <v>31</v>
      </c>
      <c r="C1277" s="4" t="s">
        <v>344</v>
      </c>
      <c r="D1277" s="3" t="s">
        <v>59</v>
      </c>
      <c r="E1277" s="7">
        <v>154</v>
      </c>
      <c r="F1277" s="5">
        <f>IFERROR(VLOOKUP(D1277, Sheet2!$A:$C, 3, FALSE), 0)</f>
        <v>4681.8181818181811</v>
      </c>
      <c r="G1277" s="6">
        <f t="shared" si="20"/>
        <v>720999.99999999988</v>
      </c>
    </row>
    <row r="1278" spans="1:7" ht="17.25" x14ac:dyDescent="0.3">
      <c r="A1278" s="23" t="s">
        <v>296</v>
      </c>
      <c r="B1278" s="22" t="s">
        <v>23</v>
      </c>
      <c r="C1278" s="4" t="s">
        <v>344</v>
      </c>
      <c r="D1278" s="3" t="s">
        <v>32</v>
      </c>
      <c r="E1278" s="7">
        <v>732</v>
      </c>
      <c r="F1278" s="5">
        <f>IFERROR(VLOOKUP(D1278, Sheet2!$A:$C, 3, FALSE), 0)</f>
        <v>4363.6363636363631</v>
      </c>
      <c r="G1278" s="6">
        <f t="shared" si="20"/>
        <v>3194181.8181818179</v>
      </c>
    </row>
    <row r="1279" spans="1:7" ht="17.25" x14ac:dyDescent="0.3">
      <c r="A1279" s="23" t="s">
        <v>296</v>
      </c>
      <c r="B1279" s="22" t="s">
        <v>30</v>
      </c>
      <c r="C1279" s="4" t="s">
        <v>342</v>
      </c>
      <c r="D1279" s="4" t="s">
        <v>61</v>
      </c>
      <c r="E1279" s="7">
        <v>78</v>
      </c>
      <c r="F1279" s="5">
        <f>IFERROR(VLOOKUP(D1279, Sheet2!$A:$C, 3, FALSE), 0)</f>
        <v>7363.6363636363631</v>
      </c>
      <c r="G1279" s="6">
        <f t="shared" si="20"/>
        <v>574363.63636363635</v>
      </c>
    </row>
    <row r="1280" spans="1:7" ht="17.25" x14ac:dyDescent="0.3">
      <c r="A1280" s="22" t="s">
        <v>296</v>
      </c>
      <c r="B1280" s="25" t="s">
        <v>33</v>
      </c>
      <c r="C1280" s="4" t="s">
        <v>215</v>
      </c>
      <c r="D1280" s="11" t="s">
        <v>264</v>
      </c>
      <c r="E1280" s="7">
        <v>458</v>
      </c>
      <c r="F1280" s="5">
        <f>IFERROR(VLOOKUP(D1280, Sheet2!$A:$C, 3, FALSE), 0)</f>
        <v>4454.545454545454</v>
      </c>
      <c r="G1280" s="6">
        <f t="shared" si="20"/>
        <v>2040181.8181818179</v>
      </c>
    </row>
    <row r="1281" spans="1:7" ht="17.25" x14ac:dyDescent="0.3">
      <c r="A1281" s="22" t="s">
        <v>296</v>
      </c>
      <c r="B1281" s="25" t="s">
        <v>33</v>
      </c>
      <c r="C1281" s="4" t="s">
        <v>342</v>
      </c>
      <c r="D1281" s="3" t="s">
        <v>61</v>
      </c>
      <c r="E1281" s="7">
        <v>76</v>
      </c>
      <c r="F1281" s="5">
        <f>IFERROR(VLOOKUP(D1281, Sheet2!$A:$C, 3, FALSE), 0)</f>
        <v>7363.6363636363631</v>
      </c>
      <c r="G1281" s="6">
        <f t="shared" si="20"/>
        <v>559636.36363636365</v>
      </c>
    </row>
    <row r="1282" spans="1:7" ht="17.25" x14ac:dyDescent="0.3">
      <c r="A1282" s="23" t="s">
        <v>296</v>
      </c>
      <c r="B1282" s="22" t="s">
        <v>51</v>
      </c>
      <c r="C1282" s="4" t="s">
        <v>341</v>
      </c>
      <c r="D1282" s="4" t="s">
        <v>110</v>
      </c>
      <c r="E1282" s="7">
        <v>188</v>
      </c>
      <c r="F1282" s="5">
        <f>IFERROR(VLOOKUP(D1282, Sheet2!$A:$C, 3, FALSE), 0)</f>
        <v>2500</v>
      </c>
      <c r="G1282" s="6">
        <f t="shared" si="20"/>
        <v>470000</v>
      </c>
    </row>
    <row r="1283" spans="1:7" ht="17.25" x14ac:dyDescent="0.3">
      <c r="A1283" s="22" t="s">
        <v>296</v>
      </c>
      <c r="B1283" s="22" t="s">
        <v>51</v>
      </c>
      <c r="C1283" s="4" t="s">
        <v>337</v>
      </c>
      <c r="D1283" s="3" t="s">
        <v>9</v>
      </c>
      <c r="E1283" s="7">
        <v>1287</v>
      </c>
      <c r="F1283" s="5">
        <f>IFERROR(VLOOKUP(D1283, Sheet2!$A:$C, 3, FALSE), 0)</f>
        <v>18636.363636363636</v>
      </c>
      <c r="G1283" s="6">
        <f t="shared" si="20"/>
        <v>23985000</v>
      </c>
    </row>
    <row r="1284" spans="1:7" ht="17.25" x14ac:dyDescent="0.3">
      <c r="A1284" s="22" t="s">
        <v>296</v>
      </c>
      <c r="B1284" s="22" t="s">
        <v>66</v>
      </c>
      <c r="C1284" s="4" t="s">
        <v>337</v>
      </c>
      <c r="D1284" s="3" t="s">
        <v>144</v>
      </c>
      <c r="E1284" s="7">
        <v>984</v>
      </c>
      <c r="F1284" s="5">
        <f>IFERROR(VLOOKUP(D1284, Sheet2!$A:$C, 3, FALSE), 0)</f>
        <v>10272.727272727272</v>
      </c>
      <c r="G1284" s="6">
        <f t="shared" si="20"/>
        <v>10108363.636363635</v>
      </c>
    </row>
    <row r="1285" spans="1:7" ht="17.25" x14ac:dyDescent="0.3">
      <c r="A1285" s="22" t="s">
        <v>297</v>
      </c>
      <c r="B1285" s="22" t="s">
        <v>66</v>
      </c>
      <c r="C1285" s="4" t="s">
        <v>339</v>
      </c>
      <c r="D1285" s="11" t="s">
        <v>67</v>
      </c>
      <c r="E1285" s="7">
        <v>773</v>
      </c>
      <c r="F1285" s="5">
        <f>IFERROR(VLOOKUP(D1285, Sheet2!$A:$C, 3, FALSE), 0)</f>
        <v>10818.181818181818</v>
      </c>
      <c r="G1285" s="6">
        <f t="shared" si="20"/>
        <v>8362454.5454545449</v>
      </c>
    </row>
    <row r="1286" spans="1:7" ht="17.25" x14ac:dyDescent="0.3">
      <c r="A1286" s="22" t="s">
        <v>297</v>
      </c>
      <c r="B1286" s="22" t="s">
        <v>99</v>
      </c>
      <c r="C1286" s="4" t="s">
        <v>340</v>
      </c>
      <c r="D1286" s="3" t="s">
        <v>49</v>
      </c>
      <c r="E1286" s="7">
        <v>113</v>
      </c>
      <c r="F1286" s="5">
        <f>IFERROR(VLOOKUP(D1286, Sheet2!$A:$C, 3, FALSE), 0)</f>
        <v>38000</v>
      </c>
      <c r="G1286" s="6">
        <f t="shared" si="20"/>
        <v>4294000</v>
      </c>
    </row>
    <row r="1287" spans="1:7" ht="17.25" x14ac:dyDescent="0.3">
      <c r="A1287" s="23" t="s">
        <v>297</v>
      </c>
      <c r="B1287" s="22" t="s">
        <v>99</v>
      </c>
      <c r="C1287" s="4" t="s">
        <v>337</v>
      </c>
      <c r="D1287" s="3" t="s">
        <v>101</v>
      </c>
      <c r="E1287" s="7">
        <v>20</v>
      </c>
      <c r="F1287" s="5">
        <f>IFERROR(VLOOKUP(D1287, Sheet2!$A:$C, 3, FALSE), 0)</f>
        <v>18090.909090909088</v>
      </c>
      <c r="G1287" s="6">
        <f t="shared" si="20"/>
        <v>361818.18181818177</v>
      </c>
    </row>
    <row r="1288" spans="1:7" ht="17.25" x14ac:dyDescent="0.3">
      <c r="A1288" s="23" t="s">
        <v>297</v>
      </c>
      <c r="B1288" s="22" t="s">
        <v>99</v>
      </c>
      <c r="C1288" s="4" t="s">
        <v>215</v>
      </c>
      <c r="D1288" s="3" t="s">
        <v>187</v>
      </c>
      <c r="E1288" s="7">
        <v>8</v>
      </c>
      <c r="F1288" s="5">
        <f>IFERROR(VLOOKUP(D1288, Sheet2!$A:$C, 3, FALSE), 0)</f>
        <v>18090.909090909088</v>
      </c>
      <c r="G1288" s="6">
        <f t="shared" si="20"/>
        <v>144727.27272727271</v>
      </c>
    </row>
    <row r="1289" spans="1:7" ht="17.25" x14ac:dyDescent="0.3">
      <c r="A1289" s="23" t="s">
        <v>297</v>
      </c>
      <c r="B1289" s="22" t="s">
        <v>99</v>
      </c>
      <c r="C1289" s="4" t="s">
        <v>215</v>
      </c>
      <c r="D1289" s="3" t="s">
        <v>116</v>
      </c>
      <c r="E1289" s="7">
        <v>192</v>
      </c>
      <c r="F1289" s="5">
        <f>IFERROR(VLOOKUP(D1289, Sheet2!$A:$C, 3, FALSE), 0)</f>
        <v>2045.4545454545453</v>
      </c>
      <c r="G1289" s="6">
        <f t="shared" si="20"/>
        <v>392727.27272727271</v>
      </c>
    </row>
    <row r="1290" spans="1:7" ht="17.25" x14ac:dyDescent="0.3">
      <c r="A1290" s="23" t="s">
        <v>297</v>
      </c>
      <c r="B1290" s="22" t="s">
        <v>99</v>
      </c>
      <c r="C1290" s="4" t="s">
        <v>215</v>
      </c>
      <c r="D1290" s="3" t="s">
        <v>179</v>
      </c>
      <c r="E1290" s="7">
        <v>192</v>
      </c>
      <c r="F1290" s="5">
        <f>IFERROR(VLOOKUP(D1290, Sheet2!$A:$C, 3, FALSE), 0)</f>
        <v>2136.363636363636</v>
      </c>
      <c r="G1290" s="6">
        <f t="shared" si="20"/>
        <v>410181.81818181812</v>
      </c>
    </row>
    <row r="1291" spans="1:7" ht="17.25" x14ac:dyDescent="0.3">
      <c r="A1291" s="22" t="s">
        <v>297</v>
      </c>
      <c r="B1291" s="22" t="s">
        <v>24</v>
      </c>
      <c r="C1291" s="4" t="s">
        <v>338</v>
      </c>
      <c r="D1291" s="11" t="s">
        <v>36</v>
      </c>
      <c r="E1291" s="10">
        <v>290</v>
      </c>
      <c r="F1291" s="5">
        <f>IFERROR(VLOOKUP(D1291, Sheet2!$A:$C, 3, FALSE), 0)</f>
        <v>7899.9999999999991</v>
      </c>
      <c r="G1291" s="6">
        <f t="shared" si="20"/>
        <v>2290999.9999999995</v>
      </c>
    </row>
    <row r="1292" spans="1:7" ht="17.25" x14ac:dyDescent="0.3">
      <c r="A1292" s="23" t="s">
        <v>297</v>
      </c>
      <c r="B1292" s="22" t="s">
        <v>314</v>
      </c>
      <c r="C1292" s="4" t="s">
        <v>338</v>
      </c>
      <c r="D1292" s="3" t="s">
        <v>36</v>
      </c>
      <c r="E1292" s="7">
        <v>250</v>
      </c>
      <c r="F1292" s="5">
        <f>IFERROR(VLOOKUP(D1292, Sheet2!$A:$C, 3, FALSE), 0)</f>
        <v>7899.9999999999991</v>
      </c>
      <c r="G1292" s="6">
        <f t="shared" si="20"/>
        <v>1974999.9999999998</v>
      </c>
    </row>
    <row r="1293" spans="1:7" ht="17.25" x14ac:dyDescent="0.3">
      <c r="A1293" s="22" t="s">
        <v>298</v>
      </c>
      <c r="B1293" s="22" t="s">
        <v>31</v>
      </c>
      <c r="C1293" s="4" t="s">
        <v>337</v>
      </c>
      <c r="D1293" s="3" t="s">
        <v>186</v>
      </c>
      <c r="E1293" s="7">
        <v>150</v>
      </c>
      <c r="F1293" s="5">
        <f>IFERROR(VLOOKUP(D1293, Sheet2!$A:$C, 3, FALSE), 0)</f>
        <v>14545.454545454544</v>
      </c>
      <c r="G1293" s="6">
        <f t="shared" si="20"/>
        <v>2181818.1818181816</v>
      </c>
    </row>
    <row r="1294" spans="1:7" ht="17.25" x14ac:dyDescent="0.3">
      <c r="A1294" s="22" t="s">
        <v>298</v>
      </c>
      <c r="B1294" s="22" t="s">
        <v>25</v>
      </c>
      <c r="C1294" s="4" t="s">
        <v>343</v>
      </c>
      <c r="D1294" s="3" t="s">
        <v>45</v>
      </c>
      <c r="E1294" s="7">
        <v>711</v>
      </c>
      <c r="F1294" s="5">
        <f>IFERROR(VLOOKUP(D1294, Sheet2!$A:$C, 3, FALSE), 0)</f>
        <v>10909.090909090908</v>
      </c>
      <c r="G1294" s="6">
        <f t="shared" si="20"/>
        <v>7756363.6363636358</v>
      </c>
    </row>
    <row r="1295" spans="1:7" ht="17.25" x14ac:dyDescent="0.3">
      <c r="A1295" s="23" t="s">
        <v>298</v>
      </c>
      <c r="B1295" s="22" t="s">
        <v>11</v>
      </c>
      <c r="C1295" s="4" t="s">
        <v>344</v>
      </c>
      <c r="D1295" s="3" t="s">
        <v>53</v>
      </c>
      <c r="E1295" s="7">
        <v>832</v>
      </c>
      <c r="F1295" s="5">
        <f>IFERROR(VLOOKUP(D1295, Sheet2!$A:$C, 3, FALSE), 0)</f>
        <v>5818.181818181818</v>
      </c>
      <c r="G1295" s="6">
        <f t="shared" si="20"/>
        <v>4840727.2727272725</v>
      </c>
    </row>
    <row r="1296" spans="1:7" ht="17.25" x14ac:dyDescent="0.3">
      <c r="A1296" s="23" t="s">
        <v>298</v>
      </c>
      <c r="B1296" s="22" t="s">
        <v>11</v>
      </c>
      <c r="C1296" s="4" t="s">
        <v>337</v>
      </c>
      <c r="D1296" s="3" t="s">
        <v>78</v>
      </c>
      <c r="E1296" s="7">
        <v>1726</v>
      </c>
      <c r="F1296" s="5">
        <f>IFERROR(VLOOKUP(D1296, Sheet2!$A:$C, 3, FALSE), 0)</f>
        <v>14999.999999999998</v>
      </c>
      <c r="G1296" s="6">
        <f t="shared" si="20"/>
        <v>25889999.999999996</v>
      </c>
    </row>
    <row r="1297" spans="1:7" ht="17.25" x14ac:dyDescent="0.3">
      <c r="A1297" s="23" t="s">
        <v>298</v>
      </c>
      <c r="B1297" s="25" t="s">
        <v>33</v>
      </c>
      <c r="C1297" s="4" t="s">
        <v>344</v>
      </c>
      <c r="D1297" s="3" t="s">
        <v>120</v>
      </c>
      <c r="E1297" s="7">
        <v>418</v>
      </c>
      <c r="F1297" s="5">
        <f>IFERROR(VLOOKUP(D1297, Sheet2!$A:$C, 3, FALSE), 0)</f>
        <v>6272.7272727272721</v>
      </c>
      <c r="G1297" s="6">
        <f t="shared" si="20"/>
        <v>2621999.9999999995</v>
      </c>
    </row>
    <row r="1298" spans="1:7" ht="17.25" x14ac:dyDescent="0.3">
      <c r="A1298" s="23" t="s">
        <v>298</v>
      </c>
      <c r="B1298" s="22" t="s">
        <v>33</v>
      </c>
      <c r="C1298" s="4" t="s">
        <v>341</v>
      </c>
      <c r="D1298" s="4" t="s">
        <v>110</v>
      </c>
      <c r="E1298" s="7">
        <v>61</v>
      </c>
      <c r="F1298" s="5">
        <f>IFERROR(VLOOKUP(D1298, Sheet2!$A:$C, 3, FALSE), 0)</f>
        <v>2500</v>
      </c>
      <c r="G1298" s="6">
        <f t="shared" si="20"/>
        <v>152500</v>
      </c>
    </row>
    <row r="1299" spans="1:7" ht="17.25" x14ac:dyDescent="0.3">
      <c r="A1299" s="23" t="s">
        <v>298</v>
      </c>
      <c r="B1299" s="22" t="s">
        <v>93</v>
      </c>
      <c r="C1299" s="4" t="s">
        <v>341</v>
      </c>
      <c r="D1299" s="4" t="s">
        <v>17</v>
      </c>
      <c r="E1299" s="7">
        <v>29</v>
      </c>
      <c r="F1299" s="5">
        <f>IFERROR(VLOOKUP(D1299, Sheet2!$A:$C, 3, FALSE), 0)</f>
        <v>11700</v>
      </c>
      <c r="G1299" s="6">
        <f t="shared" si="20"/>
        <v>339300</v>
      </c>
    </row>
    <row r="1300" spans="1:7" ht="17.25" x14ac:dyDescent="0.3">
      <c r="A1300" s="22" t="s">
        <v>299</v>
      </c>
      <c r="B1300" s="22" t="s">
        <v>93</v>
      </c>
      <c r="C1300" s="4" t="s">
        <v>337</v>
      </c>
      <c r="D1300" s="3" t="s">
        <v>186</v>
      </c>
      <c r="E1300" s="7">
        <v>2121</v>
      </c>
      <c r="F1300" s="5">
        <f>IFERROR(VLOOKUP(D1300, Sheet2!$A:$C, 3, FALSE), 0)</f>
        <v>14545.454545454544</v>
      </c>
      <c r="G1300" s="6">
        <f t="shared" si="20"/>
        <v>30850909.09090909</v>
      </c>
    </row>
    <row r="1301" spans="1:7" ht="17.25" x14ac:dyDescent="0.3">
      <c r="A1301" s="22" t="s">
        <v>299</v>
      </c>
      <c r="B1301" s="22" t="s">
        <v>21</v>
      </c>
      <c r="C1301" s="4" t="s">
        <v>338</v>
      </c>
      <c r="D1301" s="3" t="s">
        <v>36</v>
      </c>
      <c r="E1301" s="7">
        <v>1061</v>
      </c>
      <c r="F1301" s="5">
        <f>IFERROR(VLOOKUP(D1301, Sheet2!$A:$C, 3, FALSE), 0)</f>
        <v>7899.9999999999991</v>
      </c>
      <c r="G1301" s="6">
        <f t="shared" si="20"/>
        <v>8381899.9999999991</v>
      </c>
    </row>
    <row r="1302" spans="1:7" ht="17.25" x14ac:dyDescent="0.3">
      <c r="A1302" s="22" t="s">
        <v>299</v>
      </c>
      <c r="B1302" s="22" t="s">
        <v>23</v>
      </c>
      <c r="C1302" s="4" t="s">
        <v>344</v>
      </c>
      <c r="D1302" s="3" t="s">
        <v>22</v>
      </c>
      <c r="E1302" s="7">
        <v>119</v>
      </c>
      <c r="F1302" s="5">
        <f>IFERROR(VLOOKUP(D1302, Sheet2!$A:$C, 3, FALSE), 0)</f>
        <v>5999.9999999999991</v>
      </c>
      <c r="G1302" s="6">
        <f t="shared" si="20"/>
        <v>713999.99999999988</v>
      </c>
    </row>
    <row r="1303" spans="1:7" ht="17.25" x14ac:dyDescent="0.3">
      <c r="A1303" s="22" t="s">
        <v>299</v>
      </c>
      <c r="B1303" s="22" t="s">
        <v>23</v>
      </c>
      <c r="C1303" s="4" t="s">
        <v>342</v>
      </c>
      <c r="D1303" s="4" t="s">
        <v>61</v>
      </c>
      <c r="E1303" s="7">
        <v>55</v>
      </c>
      <c r="F1303" s="5">
        <f>IFERROR(VLOOKUP(D1303, Sheet2!$A:$C, 3, FALSE), 0)</f>
        <v>7363.6363636363631</v>
      </c>
      <c r="G1303" s="6">
        <f t="shared" si="20"/>
        <v>404999.99999999994</v>
      </c>
    </row>
    <row r="1304" spans="1:7" ht="17.25" x14ac:dyDescent="0.3">
      <c r="A1304" s="22" t="s">
        <v>299</v>
      </c>
      <c r="B1304" s="22" t="s">
        <v>75</v>
      </c>
      <c r="C1304" s="4" t="s">
        <v>342</v>
      </c>
      <c r="D1304" s="4" t="s">
        <v>61</v>
      </c>
      <c r="E1304" s="7">
        <v>47</v>
      </c>
      <c r="F1304" s="5">
        <f>IFERROR(VLOOKUP(D1304, Sheet2!$A:$C, 3, FALSE), 0)</f>
        <v>7363.6363636363631</v>
      </c>
      <c r="G1304" s="6">
        <f t="shared" si="20"/>
        <v>346090.90909090906</v>
      </c>
    </row>
    <row r="1305" spans="1:7" ht="17.25" x14ac:dyDescent="0.3">
      <c r="A1305" s="22" t="s">
        <v>299</v>
      </c>
      <c r="B1305" s="22" t="s">
        <v>75</v>
      </c>
      <c r="C1305" s="4" t="s">
        <v>337</v>
      </c>
      <c r="D1305" s="3" t="s">
        <v>86</v>
      </c>
      <c r="E1305" s="7">
        <v>837</v>
      </c>
      <c r="F1305" s="5">
        <f>IFERROR(VLOOKUP(D1305, Sheet2!$A:$C, 3, FALSE), 0)</f>
        <v>14999.999999999998</v>
      </c>
      <c r="G1305" s="6">
        <f t="shared" si="20"/>
        <v>12554999.999999998</v>
      </c>
    </row>
    <row r="1306" spans="1:7" ht="17.25" x14ac:dyDescent="0.3">
      <c r="A1306" s="23" t="s">
        <v>299</v>
      </c>
      <c r="B1306" s="22" t="s">
        <v>27</v>
      </c>
      <c r="C1306" s="4" t="s">
        <v>215</v>
      </c>
      <c r="D1306" s="11" t="s">
        <v>264</v>
      </c>
      <c r="E1306" s="7">
        <v>258</v>
      </c>
      <c r="F1306" s="5">
        <f>IFERROR(VLOOKUP(D1306, Sheet2!$A:$C, 3, FALSE), 0)</f>
        <v>4454.545454545454</v>
      </c>
      <c r="G1306" s="6">
        <f t="shared" si="20"/>
        <v>1149272.7272727271</v>
      </c>
    </row>
    <row r="1307" spans="1:7" ht="17.25" x14ac:dyDescent="0.3">
      <c r="A1307" s="22" t="s">
        <v>299</v>
      </c>
      <c r="B1307" s="26" t="s">
        <v>30</v>
      </c>
      <c r="C1307" s="4" t="s">
        <v>344</v>
      </c>
      <c r="D1307" s="3" t="s">
        <v>40</v>
      </c>
      <c r="E1307" s="7">
        <v>580</v>
      </c>
      <c r="F1307" s="5">
        <f>IFERROR(VLOOKUP(D1307, Sheet2!$A:$C, 3, FALSE), 0)</f>
        <v>4363.6363636363631</v>
      </c>
      <c r="G1307" s="6">
        <f t="shared" si="20"/>
        <v>2530909.0909090904</v>
      </c>
    </row>
    <row r="1308" spans="1:7" ht="17.25" x14ac:dyDescent="0.3">
      <c r="A1308" s="23" t="s">
        <v>299</v>
      </c>
      <c r="B1308" s="22" t="s">
        <v>60</v>
      </c>
      <c r="C1308" s="4" t="s">
        <v>339</v>
      </c>
      <c r="D1308" s="3" t="s">
        <v>80</v>
      </c>
      <c r="E1308" s="7">
        <v>309</v>
      </c>
      <c r="F1308" s="5">
        <f>IFERROR(VLOOKUP(D1308, Sheet2!$A:$C, 3, FALSE), 0)</f>
        <v>18272.727272727272</v>
      </c>
      <c r="G1308" s="6">
        <f t="shared" ref="G1308:G1371" si="21">E1308*F1308</f>
        <v>5646272.7272727275</v>
      </c>
    </row>
    <row r="1309" spans="1:7" ht="17.25" x14ac:dyDescent="0.3">
      <c r="A1309" s="23" t="s">
        <v>299</v>
      </c>
      <c r="B1309" s="22" t="s">
        <v>60</v>
      </c>
      <c r="C1309" s="4" t="s">
        <v>342</v>
      </c>
      <c r="D1309" s="3" t="s">
        <v>61</v>
      </c>
      <c r="E1309" s="7">
        <v>101</v>
      </c>
      <c r="F1309" s="5">
        <f>IFERROR(VLOOKUP(D1309, Sheet2!$A:$C, 3, FALSE), 0)</f>
        <v>7363.6363636363631</v>
      </c>
      <c r="G1309" s="6">
        <f t="shared" si="21"/>
        <v>743727.27272727271</v>
      </c>
    </row>
    <row r="1310" spans="1:7" ht="17.25" x14ac:dyDescent="0.3">
      <c r="A1310" s="22" t="s">
        <v>299</v>
      </c>
      <c r="B1310" s="22" t="s">
        <v>19</v>
      </c>
      <c r="C1310" s="4" t="s">
        <v>342</v>
      </c>
      <c r="D1310" s="3" t="s">
        <v>35</v>
      </c>
      <c r="E1310" s="7">
        <v>163</v>
      </c>
      <c r="F1310" s="5">
        <f>IFERROR(VLOOKUP(D1310, Sheet2!$A:$C, 3, FALSE), 0)</f>
        <v>8363.6363636363621</v>
      </c>
      <c r="G1310" s="6">
        <f t="shared" si="21"/>
        <v>1363272.7272727271</v>
      </c>
    </row>
    <row r="1311" spans="1:7" ht="17.25" x14ac:dyDescent="0.3">
      <c r="A1311" s="23" t="s">
        <v>300</v>
      </c>
      <c r="B1311" s="22" t="s">
        <v>21</v>
      </c>
      <c r="C1311" s="4" t="s">
        <v>215</v>
      </c>
      <c r="D1311" s="3" t="s">
        <v>264</v>
      </c>
      <c r="E1311" s="7">
        <v>1119</v>
      </c>
      <c r="F1311" s="5">
        <f>IFERROR(VLOOKUP(D1311, Sheet2!$A:$C, 3, FALSE), 0)</f>
        <v>4454.545454545454</v>
      </c>
      <c r="G1311" s="6">
        <f t="shared" si="21"/>
        <v>4984636.3636363633</v>
      </c>
    </row>
    <row r="1312" spans="1:7" ht="17.25" x14ac:dyDescent="0.3">
      <c r="A1312" s="23" t="s">
        <v>300</v>
      </c>
      <c r="B1312" s="22" t="s">
        <v>46</v>
      </c>
      <c r="C1312" s="4" t="s">
        <v>339</v>
      </c>
      <c r="D1312" s="3" t="s">
        <v>76</v>
      </c>
      <c r="E1312" s="7">
        <v>3000</v>
      </c>
      <c r="F1312" s="5">
        <f>IFERROR(VLOOKUP(D1312, Sheet2!$A:$C, 3, FALSE), 0)</f>
        <v>8636.363636363636</v>
      </c>
      <c r="G1312" s="6">
        <f t="shared" si="21"/>
        <v>25909090.909090906</v>
      </c>
    </row>
    <row r="1313" spans="1:7" ht="17.25" x14ac:dyDescent="0.3">
      <c r="A1313" s="22" t="s">
        <v>300</v>
      </c>
      <c r="B1313" s="22" t="s">
        <v>31</v>
      </c>
      <c r="C1313" s="4" t="s">
        <v>337</v>
      </c>
      <c r="D1313" s="3" t="s">
        <v>144</v>
      </c>
      <c r="E1313" s="7">
        <v>1888</v>
      </c>
      <c r="F1313" s="5">
        <f>IFERROR(VLOOKUP(D1313, Sheet2!$A:$C, 3, FALSE), 0)</f>
        <v>10272.727272727272</v>
      </c>
      <c r="G1313" s="6">
        <f t="shared" si="21"/>
        <v>19394909.09090909</v>
      </c>
    </row>
    <row r="1314" spans="1:7" ht="17.25" x14ac:dyDescent="0.3">
      <c r="A1314" s="23" t="s">
        <v>300</v>
      </c>
      <c r="B1314" s="22" t="s">
        <v>31</v>
      </c>
      <c r="C1314" s="4" t="s">
        <v>344</v>
      </c>
      <c r="D1314" s="3" t="s">
        <v>32</v>
      </c>
      <c r="E1314" s="7">
        <v>353</v>
      </c>
      <c r="F1314" s="5">
        <f>IFERROR(VLOOKUP(D1314, Sheet2!$A:$C, 3, FALSE), 0)</f>
        <v>4363.6363636363631</v>
      </c>
      <c r="G1314" s="6">
        <f t="shared" si="21"/>
        <v>1540363.6363636362</v>
      </c>
    </row>
    <row r="1315" spans="1:7" ht="17.25" x14ac:dyDescent="0.3">
      <c r="A1315" s="23" t="s">
        <v>300</v>
      </c>
      <c r="B1315" s="22" t="s">
        <v>25</v>
      </c>
      <c r="C1315" s="4" t="s">
        <v>342</v>
      </c>
      <c r="D1315" s="3" t="s">
        <v>35</v>
      </c>
      <c r="E1315" s="7">
        <v>288</v>
      </c>
      <c r="F1315" s="5">
        <f>IFERROR(VLOOKUP(D1315, Sheet2!$A:$C, 3, FALSE), 0)</f>
        <v>8363.6363636363621</v>
      </c>
      <c r="G1315" s="6">
        <f t="shared" si="21"/>
        <v>2408727.2727272725</v>
      </c>
    </row>
    <row r="1316" spans="1:7" ht="17.25" x14ac:dyDescent="0.3">
      <c r="A1316" s="22" t="s">
        <v>300</v>
      </c>
      <c r="B1316" s="22" t="s">
        <v>25</v>
      </c>
      <c r="C1316" s="4" t="s">
        <v>337</v>
      </c>
      <c r="D1316" s="3" t="s">
        <v>70</v>
      </c>
      <c r="E1316" s="7">
        <v>842</v>
      </c>
      <c r="F1316" s="5">
        <f>IFERROR(VLOOKUP(D1316, Sheet2!$A:$C, 3, FALSE), 0)</f>
        <v>18636.363636363636</v>
      </c>
      <c r="G1316" s="6">
        <f t="shared" si="21"/>
        <v>15691818.181818182</v>
      </c>
    </row>
    <row r="1317" spans="1:7" ht="17.25" x14ac:dyDescent="0.3">
      <c r="A1317" s="23" t="s">
        <v>300</v>
      </c>
      <c r="B1317" s="22" t="s">
        <v>24</v>
      </c>
      <c r="C1317" s="4" t="s">
        <v>337</v>
      </c>
      <c r="D1317" s="3" t="s">
        <v>79</v>
      </c>
      <c r="E1317" s="7">
        <v>2</v>
      </c>
      <c r="F1317" s="5">
        <f>IFERROR(VLOOKUP(D1317, Sheet2!$A:$C, 3, FALSE), 0)</f>
        <v>21363.63636363636</v>
      </c>
      <c r="G1317" s="6">
        <f t="shared" si="21"/>
        <v>42727.272727272721</v>
      </c>
    </row>
    <row r="1318" spans="1:7" ht="17.25" x14ac:dyDescent="0.3">
      <c r="A1318" s="22" t="s">
        <v>300</v>
      </c>
      <c r="B1318" s="22" t="s">
        <v>23</v>
      </c>
      <c r="C1318" s="4" t="s">
        <v>344</v>
      </c>
      <c r="D1318" s="3" t="s">
        <v>22</v>
      </c>
      <c r="E1318" s="7">
        <v>103</v>
      </c>
      <c r="F1318" s="5">
        <f>IFERROR(VLOOKUP(D1318, Sheet2!$A:$C, 3, FALSE), 0)</f>
        <v>5999.9999999999991</v>
      </c>
      <c r="G1318" s="6">
        <f t="shared" si="21"/>
        <v>617999.99999999988</v>
      </c>
    </row>
    <row r="1319" spans="1:7" ht="17.25" x14ac:dyDescent="0.3">
      <c r="A1319" s="23" t="s">
        <v>300</v>
      </c>
      <c r="B1319" s="22" t="s">
        <v>102</v>
      </c>
      <c r="C1319" s="4" t="s">
        <v>342</v>
      </c>
      <c r="D1319" s="4" t="s">
        <v>61</v>
      </c>
      <c r="E1319" s="7">
        <v>49</v>
      </c>
      <c r="F1319" s="5">
        <f>IFERROR(VLOOKUP(D1319, Sheet2!$A:$C, 3, FALSE), 0)</f>
        <v>7363.6363636363631</v>
      </c>
      <c r="G1319" s="6">
        <f t="shared" si="21"/>
        <v>360818.18181818177</v>
      </c>
    </row>
    <row r="1320" spans="1:7" ht="17.25" x14ac:dyDescent="0.3">
      <c r="A1320" s="23" t="s">
        <v>300</v>
      </c>
      <c r="B1320" s="22" t="s">
        <v>102</v>
      </c>
      <c r="C1320" s="4" t="s">
        <v>337</v>
      </c>
      <c r="D1320" s="3" t="s">
        <v>186</v>
      </c>
      <c r="E1320" s="7">
        <v>612</v>
      </c>
      <c r="F1320" s="5">
        <f>IFERROR(VLOOKUP(D1320, Sheet2!$A:$C, 3, FALSE), 0)</f>
        <v>14545.454545454544</v>
      </c>
      <c r="G1320" s="6">
        <f t="shared" si="21"/>
        <v>8901818.1818181816</v>
      </c>
    </row>
    <row r="1321" spans="1:7" ht="17.25" x14ac:dyDescent="0.3">
      <c r="A1321" s="22" t="s">
        <v>300</v>
      </c>
      <c r="B1321" s="22" t="s">
        <v>29</v>
      </c>
      <c r="C1321" s="4" t="s">
        <v>338</v>
      </c>
      <c r="D1321" s="3" t="s">
        <v>36</v>
      </c>
      <c r="E1321" s="7">
        <v>313</v>
      </c>
      <c r="F1321" s="5">
        <f>IFERROR(VLOOKUP(D1321, Sheet2!$A:$C, 3, FALSE), 0)</f>
        <v>7899.9999999999991</v>
      </c>
      <c r="G1321" s="6">
        <f t="shared" si="21"/>
        <v>2472699.9999999995</v>
      </c>
    </row>
    <row r="1322" spans="1:7" ht="17.25" x14ac:dyDescent="0.3">
      <c r="A1322" s="22" t="s">
        <v>300</v>
      </c>
      <c r="B1322" s="22" t="s">
        <v>16</v>
      </c>
      <c r="C1322" s="4" t="s">
        <v>344</v>
      </c>
      <c r="D1322" s="3" t="s">
        <v>40</v>
      </c>
      <c r="E1322" s="7">
        <v>491</v>
      </c>
      <c r="F1322" s="5">
        <f>IFERROR(VLOOKUP(D1322, Sheet2!$A:$C, 3, FALSE), 0)</f>
        <v>4363.6363636363631</v>
      </c>
      <c r="G1322" s="6">
        <f t="shared" si="21"/>
        <v>2142545.4545454541</v>
      </c>
    </row>
    <row r="1323" spans="1:7" ht="17.25" x14ac:dyDescent="0.3">
      <c r="A1323" s="22" t="s">
        <v>300</v>
      </c>
      <c r="B1323" s="22" t="s">
        <v>11</v>
      </c>
      <c r="C1323" s="4" t="s">
        <v>338</v>
      </c>
      <c r="D1323" s="3" t="s">
        <v>36</v>
      </c>
      <c r="E1323" s="7">
        <v>849</v>
      </c>
      <c r="F1323" s="5">
        <f>IFERROR(VLOOKUP(D1323, Sheet2!$A:$C, 3, FALSE), 0)</f>
        <v>7899.9999999999991</v>
      </c>
      <c r="G1323" s="6">
        <f t="shared" si="21"/>
        <v>6707099.9999999991</v>
      </c>
    </row>
    <row r="1324" spans="1:7" ht="17.25" x14ac:dyDescent="0.3">
      <c r="A1324" s="22" t="s">
        <v>300</v>
      </c>
      <c r="B1324" s="22" t="s">
        <v>63</v>
      </c>
      <c r="C1324" s="4" t="s">
        <v>344</v>
      </c>
      <c r="D1324" s="3" t="s">
        <v>39</v>
      </c>
      <c r="E1324" s="7">
        <v>202</v>
      </c>
      <c r="F1324" s="5">
        <f>IFERROR(VLOOKUP(D1324, Sheet2!$A:$C, 3, FALSE), 0)</f>
        <v>3863.6363636363635</v>
      </c>
      <c r="G1324" s="6">
        <f t="shared" si="21"/>
        <v>780454.54545454541</v>
      </c>
    </row>
    <row r="1325" spans="1:7" ht="17.25" x14ac:dyDescent="0.3">
      <c r="A1325" s="22" t="s">
        <v>300</v>
      </c>
      <c r="B1325" s="22" t="s">
        <v>43</v>
      </c>
      <c r="C1325" s="4" t="s">
        <v>344</v>
      </c>
      <c r="D1325" s="3" t="s">
        <v>313</v>
      </c>
      <c r="E1325" s="7">
        <v>6975</v>
      </c>
      <c r="F1325" s="5">
        <f>IFERROR(VLOOKUP(D1325, Sheet2!$A:$C, 3, FALSE), 0)</f>
        <v>727.27272727272725</v>
      </c>
      <c r="G1325" s="6">
        <f t="shared" si="21"/>
        <v>5072727.2727272725</v>
      </c>
    </row>
    <row r="1326" spans="1:7" ht="17.25" x14ac:dyDescent="0.3">
      <c r="A1326" s="22" t="s">
        <v>300</v>
      </c>
      <c r="B1326" s="22" t="s">
        <v>14</v>
      </c>
      <c r="C1326" s="4" t="s">
        <v>344</v>
      </c>
      <c r="D1326" s="9" t="s">
        <v>22</v>
      </c>
      <c r="E1326" s="7">
        <v>70</v>
      </c>
      <c r="F1326" s="5">
        <f>IFERROR(VLOOKUP(D1326, Sheet2!$A:$C, 3, FALSE), 0)</f>
        <v>5999.9999999999991</v>
      </c>
      <c r="G1326" s="6">
        <f t="shared" si="21"/>
        <v>419999.99999999994</v>
      </c>
    </row>
    <row r="1327" spans="1:7" ht="17.25" x14ac:dyDescent="0.3">
      <c r="A1327" s="22" t="s">
        <v>300</v>
      </c>
      <c r="B1327" s="22" t="s">
        <v>33</v>
      </c>
      <c r="C1327" s="4" t="s">
        <v>344</v>
      </c>
      <c r="D1327" s="3" t="s">
        <v>32</v>
      </c>
      <c r="E1327" s="7">
        <v>567</v>
      </c>
      <c r="F1327" s="5">
        <f>IFERROR(VLOOKUP(D1327, Sheet2!$A:$C, 3, FALSE), 0)</f>
        <v>4363.6363636363631</v>
      </c>
      <c r="G1327" s="6">
        <f t="shared" si="21"/>
        <v>2474181.8181818179</v>
      </c>
    </row>
    <row r="1328" spans="1:7" ht="17.25" x14ac:dyDescent="0.3">
      <c r="A1328" s="22" t="s">
        <v>300</v>
      </c>
      <c r="B1328" s="22" t="s">
        <v>95</v>
      </c>
      <c r="C1328" s="4" t="s">
        <v>341</v>
      </c>
      <c r="D1328" s="4" t="s">
        <v>17</v>
      </c>
      <c r="E1328" s="7">
        <v>33</v>
      </c>
      <c r="F1328" s="5">
        <f>IFERROR(VLOOKUP(D1328, Sheet2!$A:$C, 3, FALSE), 0)</f>
        <v>11700</v>
      </c>
      <c r="G1328" s="6">
        <f t="shared" si="21"/>
        <v>386100</v>
      </c>
    </row>
    <row r="1329" spans="1:7" ht="17.25" x14ac:dyDescent="0.3">
      <c r="A1329" s="23" t="s">
        <v>300</v>
      </c>
      <c r="B1329" s="22" t="s">
        <v>103</v>
      </c>
      <c r="C1329" s="4" t="s">
        <v>344</v>
      </c>
      <c r="D1329" s="3" t="s">
        <v>53</v>
      </c>
      <c r="E1329" s="7">
        <v>526</v>
      </c>
      <c r="F1329" s="5">
        <f>IFERROR(VLOOKUP(D1329, Sheet2!$A:$C, 3, FALSE), 0)</f>
        <v>5818.181818181818</v>
      </c>
      <c r="G1329" s="6">
        <f t="shared" si="21"/>
        <v>3060363.6363636362</v>
      </c>
    </row>
    <row r="1330" spans="1:7" ht="17.25" x14ac:dyDescent="0.3">
      <c r="A1330" s="23" t="s">
        <v>301</v>
      </c>
      <c r="B1330" s="22" t="s">
        <v>30</v>
      </c>
      <c r="C1330" s="4" t="s">
        <v>338</v>
      </c>
      <c r="D1330" s="3" t="s">
        <v>36</v>
      </c>
      <c r="E1330" s="7">
        <v>660</v>
      </c>
      <c r="F1330" s="5">
        <f>IFERROR(VLOOKUP(D1330, Sheet2!$A:$C, 3, FALSE), 0)</f>
        <v>7899.9999999999991</v>
      </c>
      <c r="G1330" s="6">
        <f t="shared" si="21"/>
        <v>5213999.9999999991</v>
      </c>
    </row>
    <row r="1331" spans="1:7" ht="17.25" x14ac:dyDescent="0.3">
      <c r="A1331" s="22" t="s">
        <v>301</v>
      </c>
      <c r="B1331" s="22" t="s">
        <v>8</v>
      </c>
      <c r="C1331" s="4" t="s">
        <v>215</v>
      </c>
      <c r="D1331" s="11" t="s">
        <v>264</v>
      </c>
      <c r="E1331" s="7">
        <v>201</v>
      </c>
      <c r="F1331" s="5">
        <f>IFERROR(VLOOKUP(D1331, Sheet2!$A:$C, 3, FALSE), 0)</f>
        <v>4454.545454545454</v>
      </c>
      <c r="G1331" s="6">
        <f t="shared" si="21"/>
        <v>895363.63636363624</v>
      </c>
    </row>
    <row r="1332" spans="1:7" ht="17.25" x14ac:dyDescent="0.3">
      <c r="A1332" s="22" t="s">
        <v>301</v>
      </c>
      <c r="B1332" s="22" t="s">
        <v>33</v>
      </c>
      <c r="C1332" s="4" t="s">
        <v>337</v>
      </c>
      <c r="D1332" s="3" t="s">
        <v>78</v>
      </c>
      <c r="E1332" s="7">
        <v>675</v>
      </c>
      <c r="F1332" s="5">
        <f>IFERROR(VLOOKUP(D1332, Sheet2!$A:$C, 3, FALSE), 0)</f>
        <v>14999.999999999998</v>
      </c>
      <c r="G1332" s="6">
        <f t="shared" si="21"/>
        <v>10124999.999999998</v>
      </c>
    </row>
    <row r="1333" spans="1:7" ht="17.25" x14ac:dyDescent="0.3">
      <c r="A1333" s="22" t="s">
        <v>301</v>
      </c>
      <c r="B1333" s="25" t="s">
        <v>33</v>
      </c>
      <c r="C1333" s="4" t="s">
        <v>344</v>
      </c>
      <c r="D1333" s="3" t="s">
        <v>44</v>
      </c>
      <c r="E1333" s="7">
        <v>102</v>
      </c>
      <c r="F1333" s="5">
        <f>IFERROR(VLOOKUP(D1333, Sheet2!$A:$C, 3, FALSE), 0)</f>
        <v>5909.090909090909</v>
      </c>
      <c r="G1333" s="6">
        <f t="shared" si="21"/>
        <v>602727.27272727271</v>
      </c>
    </row>
    <row r="1334" spans="1:7" ht="17.25" x14ac:dyDescent="0.3">
      <c r="A1334" s="22" t="s">
        <v>301</v>
      </c>
      <c r="B1334" s="22" t="s">
        <v>33</v>
      </c>
      <c r="C1334" s="4" t="s">
        <v>341</v>
      </c>
      <c r="D1334" s="4" t="s">
        <v>110</v>
      </c>
      <c r="E1334" s="7">
        <v>126</v>
      </c>
      <c r="F1334" s="5">
        <f>IFERROR(VLOOKUP(D1334, Sheet2!$A:$C, 3, FALSE), 0)</f>
        <v>2500</v>
      </c>
      <c r="G1334" s="6">
        <f t="shared" si="21"/>
        <v>315000</v>
      </c>
    </row>
    <row r="1335" spans="1:7" ht="17.25" x14ac:dyDescent="0.3">
      <c r="A1335" s="23" t="s">
        <v>301</v>
      </c>
      <c r="B1335" s="22" t="s">
        <v>75</v>
      </c>
      <c r="C1335" s="4" t="s">
        <v>341</v>
      </c>
      <c r="D1335" s="4" t="s">
        <v>17</v>
      </c>
      <c r="E1335" s="7">
        <v>112</v>
      </c>
      <c r="F1335" s="5">
        <f>IFERROR(VLOOKUP(D1335, Sheet2!$A:$C, 3, FALSE), 0)</f>
        <v>11700</v>
      </c>
      <c r="G1335" s="6">
        <f t="shared" si="21"/>
        <v>1310400</v>
      </c>
    </row>
    <row r="1336" spans="1:7" ht="17.25" x14ac:dyDescent="0.3">
      <c r="A1336" s="23" t="s">
        <v>302</v>
      </c>
      <c r="B1336" s="22" t="s">
        <v>43</v>
      </c>
      <c r="C1336" s="4" t="s">
        <v>215</v>
      </c>
      <c r="D1336" s="11" t="s">
        <v>264</v>
      </c>
      <c r="E1336" s="7">
        <v>596</v>
      </c>
      <c r="F1336" s="5">
        <f>IFERROR(VLOOKUP(D1336, Sheet2!$A:$C, 3, FALSE), 0)</f>
        <v>4454.545454545454</v>
      </c>
      <c r="G1336" s="6">
        <f t="shared" si="21"/>
        <v>2654909.0909090908</v>
      </c>
    </row>
    <row r="1337" spans="1:7" ht="17.25" x14ac:dyDescent="0.3">
      <c r="A1337" s="22" t="s">
        <v>302</v>
      </c>
      <c r="B1337" s="22" t="s">
        <v>43</v>
      </c>
      <c r="C1337" s="4" t="s">
        <v>337</v>
      </c>
      <c r="D1337" s="9" t="s">
        <v>94</v>
      </c>
      <c r="E1337" s="7">
        <v>314</v>
      </c>
      <c r="F1337" s="5">
        <f>IFERROR(VLOOKUP(D1337, Sheet2!$A:$C, 3, FALSE), 0)</f>
        <v>14181.81818181818</v>
      </c>
      <c r="G1337" s="6">
        <f t="shared" si="21"/>
        <v>4453090.9090909082</v>
      </c>
    </row>
    <row r="1338" spans="1:7" ht="17.25" x14ac:dyDescent="0.3">
      <c r="A1338" s="22" t="s">
        <v>302</v>
      </c>
      <c r="B1338" s="22" t="s">
        <v>60</v>
      </c>
      <c r="C1338" s="4" t="s">
        <v>341</v>
      </c>
      <c r="D1338" s="4" t="s">
        <v>68</v>
      </c>
      <c r="E1338" s="7">
        <v>136</v>
      </c>
      <c r="F1338" s="5">
        <f>IFERROR(VLOOKUP(D1338, Sheet2!$A:$C, 3, FALSE), 0)</f>
        <v>13400</v>
      </c>
      <c r="G1338" s="6">
        <f t="shared" si="21"/>
        <v>1822400</v>
      </c>
    </row>
    <row r="1339" spans="1:7" ht="17.25" x14ac:dyDescent="0.3">
      <c r="A1339" s="22" t="s">
        <v>302</v>
      </c>
      <c r="B1339" s="25" t="s">
        <v>41</v>
      </c>
      <c r="C1339" s="4" t="s">
        <v>337</v>
      </c>
      <c r="D1339" s="3" t="s">
        <v>79</v>
      </c>
      <c r="E1339" s="7">
        <v>216</v>
      </c>
      <c r="F1339" s="5">
        <f>IFERROR(VLOOKUP(D1339, Sheet2!$A:$C, 3, FALSE), 0)</f>
        <v>21363.63636363636</v>
      </c>
      <c r="G1339" s="6">
        <f t="shared" si="21"/>
        <v>4614545.4545454541</v>
      </c>
    </row>
    <row r="1340" spans="1:7" ht="17.25" x14ac:dyDescent="0.3">
      <c r="A1340" s="23" t="s">
        <v>303</v>
      </c>
      <c r="B1340" s="22" t="s">
        <v>63</v>
      </c>
      <c r="C1340" s="4" t="s">
        <v>344</v>
      </c>
      <c r="D1340" s="3" t="s">
        <v>15</v>
      </c>
      <c r="E1340" s="7">
        <v>176</v>
      </c>
      <c r="F1340" s="5">
        <f>IFERROR(VLOOKUP(D1340, Sheet2!$A:$C, 3, FALSE), 0)</f>
        <v>3863.6363636363635</v>
      </c>
      <c r="G1340" s="6">
        <f t="shared" si="21"/>
        <v>680000</v>
      </c>
    </row>
    <row r="1341" spans="1:7" ht="17.25" x14ac:dyDescent="0.3">
      <c r="A1341" s="23" t="s">
        <v>303</v>
      </c>
      <c r="B1341" s="22" t="s">
        <v>8</v>
      </c>
      <c r="C1341" s="4" t="s">
        <v>344</v>
      </c>
      <c r="D1341" s="3" t="s">
        <v>22</v>
      </c>
      <c r="E1341" s="7">
        <v>80</v>
      </c>
      <c r="F1341" s="5">
        <f>IFERROR(VLOOKUP(D1341, Sheet2!$A:$C, 3, FALSE), 0)</f>
        <v>5999.9999999999991</v>
      </c>
      <c r="G1341" s="6">
        <f t="shared" si="21"/>
        <v>479999.99999999994</v>
      </c>
    </row>
    <row r="1342" spans="1:7" ht="17.25" x14ac:dyDescent="0.3">
      <c r="A1342" s="22" t="s">
        <v>303</v>
      </c>
      <c r="B1342" s="22" t="s">
        <v>33</v>
      </c>
      <c r="C1342" s="4" t="s">
        <v>338</v>
      </c>
      <c r="D1342" s="3" t="s">
        <v>36</v>
      </c>
      <c r="E1342" s="7">
        <v>167</v>
      </c>
      <c r="F1342" s="5">
        <f>IFERROR(VLOOKUP(D1342, Sheet2!$A:$C, 3, FALSE), 0)</f>
        <v>7899.9999999999991</v>
      </c>
      <c r="G1342" s="6">
        <f t="shared" si="21"/>
        <v>1319299.9999999998</v>
      </c>
    </row>
    <row r="1343" spans="1:7" ht="17.25" x14ac:dyDescent="0.3">
      <c r="A1343" s="22" t="s">
        <v>303</v>
      </c>
      <c r="B1343" s="22" t="s">
        <v>95</v>
      </c>
      <c r="C1343" s="4" t="s">
        <v>344</v>
      </c>
      <c r="D1343" s="3" t="s">
        <v>56</v>
      </c>
      <c r="E1343" s="7">
        <v>145</v>
      </c>
      <c r="F1343" s="5">
        <f>IFERROR(VLOOKUP(D1343, Sheet2!$A:$C, 3, FALSE), 0)</f>
        <v>5545.454545454545</v>
      </c>
      <c r="G1343" s="6">
        <f t="shared" si="21"/>
        <v>804090.90909090906</v>
      </c>
    </row>
    <row r="1344" spans="1:7" ht="17.25" x14ac:dyDescent="0.3">
      <c r="A1344" s="22" t="s">
        <v>303</v>
      </c>
      <c r="B1344" s="22" t="s">
        <v>93</v>
      </c>
      <c r="C1344" s="4" t="s">
        <v>337</v>
      </c>
      <c r="D1344" s="3" t="s">
        <v>9</v>
      </c>
      <c r="E1344" s="7">
        <v>968</v>
      </c>
      <c r="F1344" s="5">
        <f>IFERROR(VLOOKUP(D1344, Sheet2!$A:$C, 3, FALSE), 0)</f>
        <v>18636.363636363636</v>
      </c>
      <c r="G1344" s="6">
        <f t="shared" si="21"/>
        <v>18040000</v>
      </c>
    </row>
    <row r="1345" spans="1:7" ht="17.25" x14ac:dyDescent="0.3">
      <c r="A1345" s="23" t="s">
        <v>304</v>
      </c>
      <c r="B1345" s="22" t="s">
        <v>21</v>
      </c>
      <c r="C1345" s="4" t="s">
        <v>337</v>
      </c>
      <c r="D1345" s="3" t="s">
        <v>188</v>
      </c>
      <c r="E1345" s="7">
        <v>766</v>
      </c>
      <c r="F1345" s="5">
        <f>IFERROR(VLOOKUP(D1345, Sheet2!$A:$C, 3, FALSE), 0)</f>
        <v>31818.181818181816</v>
      </c>
      <c r="G1345" s="6">
        <f t="shared" si="21"/>
        <v>24372727.27272727</v>
      </c>
    </row>
    <row r="1346" spans="1:7" ht="17.25" x14ac:dyDescent="0.3">
      <c r="A1346" s="23" t="s">
        <v>304</v>
      </c>
      <c r="B1346" s="22" t="s">
        <v>21</v>
      </c>
      <c r="C1346" s="4" t="s">
        <v>337</v>
      </c>
      <c r="D1346" s="3" t="s">
        <v>9</v>
      </c>
      <c r="E1346" s="7">
        <v>1519</v>
      </c>
      <c r="F1346" s="5">
        <f>IFERROR(VLOOKUP(D1346, Sheet2!$A:$C, 3, FALSE), 0)</f>
        <v>18636.363636363636</v>
      </c>
      <c r="G1346" s="6">
        <f t="shared" si="21"/>
        <v>28308636.363636363</v>
      </c>
    </row>
    <row r="1347" spans="1:7" ht="17.25" x14ac:dyDescent="0.3">
      <c r="A1347" s="23" t="s">
        <v>304</v>
      </c>
      <c r="B1347" s="22" t="s">
        <v>21</v>
      </c>
      <c r="C1347" s="4" t="s">
        <v>344</v>
      </c>
      <c r="D1347" s="3" t="s">
        <v>22</v>
      </c>
      <c r="E1347" s="7">
        <v>134</v>
      </c>
      <c r="F1347" s="5">
        <f>IFERROR(VLOOKUP(D1347, Sheet2!$A:$C, 3, FALSE), 0)</f>
        <v>5999.9999999999991</v>
      </c>
      <c r="G1347" s="6">
        <f t="shared" si="21"/>
        <v>803999.99999999988</v>
      </c>
    </row>
    <row r="1348" spans="1:7" ht="17.25" x14ac:dyDescent="0.3">
      <c r="A1348" s="23" t="s">
        <v>304</v>
      </c>
      <c r="B1348" s="22" t="s">
        <v>24</v>
      </c>
      <c r="C1348" s="4" t="s">
        <v>344</v>
      </c>
      <c r="D1348" s="3" t="s">
        <v>52</v>
      </c>
      <c r="E1348" s="7">
        <v>79</v>
      </c>
      <c r="F1348" s="5">
        <f>IFERROR(VLOOKUP(D1348, Sheet2!$A:$C, 3, FALSE), 0)</f>
        <v>5999.9999999999991</v>
      </c>
      <c r="G1348" s="6">
        <f t="shared" si="21"/>
        <v>473999.99999999994</v>
      </c>
    </row>
    <row r="1349" spans="1:7" ht="17.25" x14ac:dyDescent="0.3">
      <c r="A1349" s="22" t="s">
        <v>304</v>
      </c>
      <c r="B1349" s="22" t="s">
        <v>23</v>
      </c>
      <c r="C1349" s="4" t="s">
        <v>339</v>
      </c>
      <c r="D1349" s="3" t="s">
        <v>76</v>
      </c>
      <c r="E1349" s="7">
        <v>201</v>
      </c>
      <c r="F1349" s="5">
        <f>IFERROR(VLOOKUP(D1349, Sheet2!$A:$C, 3, FALSE), 0)</f>
        <v>8636.363636363636</v>
      </c>
      <c r="G1349" s="6">
        <f t="shared" si="21"/>
        <v>1735909.0909090908</v>
      </c>
    </row>
    <row r="1350" spans="1:7" ht="17.25" x14ac:dyDescent="0.3">
      <c r="A1350" s="23" t="s">
        <v>304</v>
      </c>
      <c r="B1350" s="22" t="s">
        <v>23</v>
      </c>
      <c r="C1350" s="4" t="s">
        <v>344</v>
      </c>
      <c r="D1350" s="3" t="s">
        <v>52</v>
      </c>
      <c r="E1350" s="7">
        <v>160</v>
      </c>
      <c r="F1350" s="5">
        <f>IFERROR(VLOOKUP(D1350, Sheet2!$A:$C, 3, FALSE), 0)</f>
        <v>5999.9999999999991</v>
      </c>
      <c r="G1350" s="6">
        <f t="shared" si="21"/>
        <v>959999.99999999988</v>
      </c>
    </row>
    <row r="1351" spans="1:7" ht="17.25" x14ac:dyDescent="0.3">
      <c r="A1351" s="23" t="s">
        <v>304</v>
      </c>
      <c r="B1351" s="22" t="s">
        <v>75</v>
      </c>
      <c r="C1351" s="4" t="s">
        <v>344</v>
      </c>
      <c r="D1351" s="3" t="s">
        <v>52</v>
      </c>
      <c r="E1351" s="7">
        <v>148</v>
      </c>
      <c r="F1351" s="5">
        <f>IFERROR(VLOOKUP(D1351, Sheet2!$A:$C, 3, FALSE), 0)</f>
        <v>5999.9999999999991</v>
      </c>
      <c r="G1351" s="6">
        <f t="shared" si="21"/>
        <v>887999.99999999988</v>
      </c>
    </row>
    <row r="1352" spans="1:7" ht="17.25" x14ac:dyDescent="0.3">
      <c r="A1352" s="22" t="s">
        <v>304</v>
      </c>
      <c r="B1352" s="22" t="s">
        <v>43</v>
      </c>
      <c r="C1352" s="4" t="s">
        <v>337</v>
      </c>
      <c r="D1352" s="11" t="s">
        <v>144</v>
      </c>
      <c r="E1352" s="7">
        <v>1205</v>
      </c>
      <c r="F1352" s="5">
        <f>IFERROR(VLOOKUP(D1352, Sheet2!$A:$C, 3, FALSE), 0)</f>
        <v>10272.727272727272</v>
      </c>
      <c r="G1352" s="6">
        <f t="shared" si="21"/>
        <v>12378636.363636363</v>
      </c>
    </row>
    <row r="1353" spans="1:7" ht="17.25" x14ac:dyDescent="0.3">
      <c r="A1353" s="22" t="s">
        <v>304</v>
      </c>
      <c r="B1353" s="22" t="s">
        <v>43</v>
      </c>
      <c r="C1353" s="4" t="s">
        <v>344</v>
      </c>
      <c r="D1353" s="9" t="s">
        <v>22</v>
      </c>
      <c r="E1353" s="7">
        <v>114</v>
      </c>
      <c r="F1353" s="5">
        <f>IFERROR(VLOOKUP(D1353, Sheet2!$A:$C, 3, FALSE), 0)</f>
        <v>5999.9999999999991</v>
      </c>
      <c r="G1353" s="6">
        <f t="shared" si="21"/>
        <v>683999.99999999988</v>
      </c>
    </row>
    <row r="1354" spans="1:7" ht="17.25" x14ac:dyDescent="0.3">
      <c r="A1354" s="22" t="s">
        <v>304</v>
      </c>
      <c r="B1354" s="22" t="s">
        <v>60</v>
      </c>
      <c r="C1354" s="4" t="s">
        <v>341</v>
      </c>
      <c r="D1354" s="4" t="s">
        <v>68</v>
      </c>
      <c r="E1354" s="7">
        <v>156</v>
      </c>
      <c r="F1354" s="5">
        <f>IFERROR(VLOOKUP(D1354, Sheet2!$A:$C, 3, FALSE), 0)</f>
        <v>13400</v>
      </c>
      <c r="G1354" s="6">
        <f t="shared" si="21"/>
        <v>2090400</v>
      </c>
    </row>
    <row r="1355" spans="1:7" ht="17.25" x14ac:dyDescent="0.3">
      <c r="A1355" s="22" t="s">
        <v>304</v>
      </c>
      <c r="B1355" s="22" t="s">
        <v>21</v>
      </c>
      <c r="C1355" s="4" t="s">
        <v>338</v>
      </c>
      <c r="D1355" s="3" t="s">
        <v>36</v>
      </c>
      <c r="E1355" s="7">
        <v>292</v>
      </c>
      <c r="F1355" s="5">
        <f>IFERROR(VLOOKUP(D1355, Sheet2!$A:$C, 3, FALSE), 0)</f>
        <v>7899.9999999999991</v>
      </c>
      <c r="G1355" s="6">
        <f t="shared" si="21"/>
        <v>2306799.9999999995</v>
      </c>
    </row>
    <row r="1356" spans="1:7" ht="17.25" x14ac:dyDescent="0.3">
      <c r="A1356" s="23" t="s">
        <v>305</v>
      </c>
      <c r="B1356" s="22" t="s">
        <v>25</v>
      </c>
      <c r="C1356" s="4" t="s">
        <v>344</v>
      </c>
      <c r="D1356" s="3" t="s">
        <v>44</v>
      </c>
      <c r="E1356" s="7">
        <v>239</v>
      </c>
      <c r="F1356" s="5">
        <f>IFERROR(VLOOKUP(D1356, Sheet2!$A:$C, 3, FALSE), 0)</f>
        <v>5909.090909090909</v>
      </c>
      <c r="G1356" s="6">
        <f t="shared" si="21"/>
        <v>1412272.7272727273</v>
      </c>
    </row>
    <row r="1357" spans="1:7" ht="17.25" x14ac:dyDescent="0.3">
      <c r="A1357" s="22" t="s">
        <v>305</v>
      </c>
      <c r="B1357" s="22" t="s">
        <v>25</v>
      </c>
      <c r="C1357" s="4" t="s">
        <v>215</v>
      </c>
      <c r="D1357" s="3" t="s">
        <v>173</v>
      </c>
      <c r="E1357" s="7">
        <v>809</v>
      </c>
      <c r="F1357" s="5">
        <f>IFERROR(VLOOKUP(D1357, Sheet2!$A:$C, 3, FALSE), 0)</f>
        <v>7181.8181818181811</v>
      </c>
      <c r="G1357" s="6">
        <f t="shared" si="21"/>
        <v>5810090.9090909082</v>
      </c>
    </row>
    <row r="1358" spans="1:7" ht="17.25" x14ac:dyDescent="0.3">
      <c r="A1358" s="23" t="s">
        <v>305</v>
      </c>
      <c r="B1358" s="22" t="s">
        <v>150</v>
      </c>
      <c r="C1358" s="4" t="s">
        <v>344</v>
      </c>
      <c r="D1358" s="3" t="s">
        <v>22</v>
      </c>
      <c r="E1358" s="7">
        <v>397</v>
      </c>
      <c r="F1358" s="5">
        <f>IFERROR(VLOOKUP(D1358, Sheet2!$A:$C, 3, FALSE), 0)</f>
        <v>5999.9999999999991</v>
      </c>
      <c r="G1358" s="6">
        <f t="shared" si="21"/>
        <v>2381999.9999999995</v>
      </c>
    </row>
    <row r="1359" spans="1:7" ht="17.25" x14ac:dyDescent="0.3">
      <c r="A1359" s="22" t="s">
        <v>305</v>
      </c>
      <c r="B1359" s="22" t="s">
        <v>150</v>
      </c>
      <c r="C1359" s="4" t="s">
        <v>344</v>
      </c>
      <c r="D1359" s="3" t="s">
        <v>44</v>
      </c>
      <c r="E1359" s="7">
        <v>379</v>
      </c>
      <c r="F1359" s="5">
        <f>IFERROR(VLOOKUP(D1359, Sheet2!$A:$C, 3, FALSE), 0)</f>
        <v>5909.090909090909</v>
      </c>
      <c r="G1359" s="6">
        <f t="shared" si="21"/>
        <v>2239545.4545454546</v>
      </c>
    </row>
    <row r="1360" spans="1:7" ht="17.25" x14ac:dyDescent="0.3">
      <c r="A1360" s="23" t="s">
        <v>305</v>
      </c>
      <c r="B1360" s="22" t="s">
        <v>24</v>
      </c>
      <c r="C1360" s="4" t="s">
        <v>344</v>
      </c>
      <c r="D1360" s="3" t="s">
        <v>15</v>
      </c>
      <c r="E1360" s="7">
        <v>421</v>
      </c>
      <c r="F1360" s="5">
        <f>IFERROR(VLOOKUP(D1360, Sheet2!$A:$C, 3, FALSE), 0)</f>
        <v>3863.6363636363635</v>
      </c>
      <c r="G1360" s="6">
        <f t="shared" si="21"/>
        <v>1626590.9090909089</v>
      </c>
    </row>
    <row r="1361" spans="1:7" ht="17.25" x14ac:dyDescent="0.3">
      <c r="A1361" s="22" t="s">
        <v>305</v>
      </c>
      <c r="B1361" s="22" t="s">
        <v>23</v>
      </c>
      <c r="C1361" s="4" t="s">
        <v>338</v>
      </c>
      <c r="D1361" s="3" t="s">
        <v>36</v>
      </c>
      <c r="E1361" s="7">
        <v>185</v>
      </c>
      <c r="F1361" s="5">
        <f>IFERROR(VLOOKUP(D1361, Sheet2!$A:$C, 3, FALSE), 0)</f>
        <v>7899.9999999999991</v>
      </c>
      <c r="G1361" s="6">
        <f t="shared" si="21"/>
        <v>1461499.9999999998</v>
      </c>
    </row>
    <row r="1362" spans="1:7" ht="17.25" x14ac:dyDescent="0.3">
      <c r="A1362" s="23" t="s">
        <v>305</v>
      </c>
      <c r="B1362" s="25" t="s">
        <v>48</v>
      </c>
      <c r="C1362" s="4" t="s">
        <v>344</v>
      </c>
      <c r="D1362" s="3" t="s">
        <v>52</v>
      </c>
      <c r="E1362" s="7">
        <v>119</v>
      </c>
      <c r="F1362" s="5">
        <f>IFERROR(VLOOKUP(D1362, Sheet2!$A:$C, 3, FALSE), 0)</f>
        <v>5999.9999999999991</v>
      </c>
      <c r="G1362" s="6">
        <f t="shared" si="21"/>
        <v>713999.99999999988</v>
      </c>
    </row>
    <row r="1363" spans="1:7" ht="17.25" x14ac:dyDescent="0.3">
      <c r="A1363" s="23" t="s">
        <v>305</v>
      </c>
      <c r="B1363" s="22" t="s">
        <v>43</v>
      </c>
      <c r="C1363" s="4" t="s">
        <v>344</v>
      </c>
      <c r="D1363" s="3" t="s">
        <v>22</v>
      </c>
      <c r="E1363" s="7">
        <v>318</v>
      </c>
      <c r="F1363" s="5">
        <f>IFERROR(VLOOKUP(D1363, Sheet2!$A:$C, 3, FALSE), 0)</f>
        <v>5999.9999999999991</v>
      </c>
      <c r="G1363" s="6">
        <f t="shared" si="21"/>
        <v>1907999.9999999998</v>
      </c>
    </row>
    <row r="1364" spans="1:7" ht="17.25" x14ac:dyDescent="0.3">
      <c r="A1364" s="22" t="s">
        <v>305</v>
      </c>
      <c r="B1364" s="22" t="s">
        <v>14</v>
      </c>
      <c r="C1364" s="4" t="s">
        <v>341</v>
      </c>
      <c r="D1364" s="4" t="s">
        <v>68</v>
      </c>
      <c r="E1364" s="7">
        <v>121</v>
      </c>
      <c r="F1364" s="5">
        <f>IFERROR(VLOOKUP(D1364, Sheet2!$A:$C, 3, FALSE), 0)</f>
        <v>13400</v>
      </c>
      <c r="G1364" s="6">
        <f t="shared" si="21"/>
        <v>1621400</v>
      </c>
    </row>
    <row r="1365" spans="1:7" ht="17.25" x14ac:dyDescent="0.3">
      <c r="A1365" s="22" t="s">
        <v>305</v>
      </c>
      <c r="B1365" s="22" t="s">
        <v>14</v>
      </c>
      <c r="C1365" s="4" t="s">
        <v>343</v>
      </c>
      <c r="D1365" s="3" t="s">
        <v>45</v>
      </c>
      <c r="E1365" s="7">
        <v>895</v>
      </c>
      <c r="F1365" s="5">
        <f>IFERROR(VLOOKUP(D1365, Sheet2!$A:$C, 3, FALSE), 0)</f>
        <v>10909.090909090908</v>
      </c>
      <c r="G1365" s="6">
        <f t="shared" si="21"/>
        <v>9763636.3636363633</v>
      </c>
    </row>
    <row r="1366" spans="1:7" ht="17.25" x14ac:dyDescent="0.3">
      <c r="A1366" s="23" t="s">
        <v>305</v>
      </c>
      <c r="B1366" s="25" t="s">
        <v>33</v>
      </c>
      <c r="C1366" s="4" t="s">
        <v>337</v>
      </c>
      <c r="D1366" s="3" t="s">
        <v>122</v>
      </c>
      <c r="E1366" s="7">
        <v>563</v>
      </c>
      <c r="F1366" s="5">
        <f>IFERROR(VLOOKUP(D1366, Sheet2!$A:$C, 3, FALSE), 0)</f>
        <v>8181.8181818181811</v>
      </c>
      <c r="G1366" s="6">
        <f t="shared" si="21"/>
        <v>4606363.6363636358</v>
      </c>
    </row>
    <row r="1367" spans="1:7" ht="17.25" x14ac:dyDescent="0.3">
      <c r="A1367" s="23" t="s">
        <v>305</v>
      </c>
      <c r="B1367" s="25" t="s">
        <v>33</v>
      </c>
      <c r="C1367" s="4" t="s">
        <v>341</v>
      </c>
      <c r="D1367" s="4" t="s">
        <v>110</v>
      </c>
      <c r="E1367" s="7">
        <v>221</v>
      </c>
      <c r="F1367" s="5">
        <f>IFERROR(VLOOKUP(D1367, Sheet2!$A:$C, 3, FALSE), 0)</f>
        <v>2500</v>
      </c>
      <c r="G1367" s="6">
        <f t="shared" si="21"/>
        <v>552500</v>
      </c>
    </row>
    <row r="1368" spans="1:7" ht="17.25" x14ac:dyDescent="0.3">
      <c r="A1368" s="22" t="s">
        <v>305</v>
      </c>
      <c r="B1368" s="22" t="s">
        <v>66</v>
      </c>
      <c r="C1368" s="4" t="s">
        <v>344</v>
      </c>
      <c r="D1368" s="3" t="s">
        <v>44</v>
      </c>
      <c r="E1368" s="7">
        <v>40</v>
      </c>
      <c r="F1368" s="5">
        <f>IFERROR(VLOOKUP(D1368, Sheet2!$A:$C, 3, FALSE), 0)</f>
        <v>5909.090909090909</v>
      </c>
      <c r="G1368" s="6">
        <f t="shared" si="21"/>
        <v>236363.63636363635</v>
      </c>
    </row>
    <row r="1369" spans="1:7" ht="17.25" x14ac:dyDescent="0.3">
      <c r="A1369" s="23" t="s">
        <v>306</v>
      </c>
      <c r="B1369" s="22" t="s">
        <v>103</v>
      </c>
      <c r="C1369" s="4" t="s">
        <v>344</v>
      </c>
      <c r="D1369" s="3" t="s">
        <v>59</v>
      </c>
      <c r="E1369" s="7">
        <v>347</v>
      </c>
      <c r="F1369" s="5">
        <f>IFERROR(VLOOKUP(D1369, Sheet2!$A:$C, 3, FALSE), 0)</f>
        <v>4681.8181818181811</v>
      </c>
      <c r="G1369" s="6">
        <f t="shared" si="21"/>
        <v>1624590.9090909089</v>
      </c>
    </row>
    <row r="1370" spans="1:7" ht="17.25" x14ac:dyDescent="0.3">
      <c r="A1370" s="23" t="s">
        <v>306</v>
      </c>
      <c r="B1370" s="22" t="s">
        <v>25</v>
      </c>
      <c r="C1370" s="4" t="s">
        <v>338</v>
      </c>
      <c r="D1370" s="3" t="s">
        <v>36</v>
      </c>
      <c r="E1370" s="7">
        <v>714</v>
      </c>
      <c r="F1370" s="5">
        <f>IFERROR(VLOOKUP(D1370, Sheet2!$A:$C, 3, FALSE), 0)</f>
        <v>7899.9999999999991</v>
      </c>
      <c r="G1370" s="6">
        <f t="shared" si="21"/>
        <v>5640599.9999999991</v>
      </c>
    </row>
    <row r="1371" spans="1:7" ht="17.25" x14ac:dyDescent="0.3">
      <c r="A1371" s="22" t="s">
        <v>306</v>
      </c>
      <c r="B1371" s="22" t="s">
        <v>99</v>
      </c>
      <c r="C1371" s="4" t="s">
        <v>337</v>
      </c>
      <c r="D1371" s="3" t="s">
        <v>79</v>
      </c>
      <c r="E1371" s="7">
        <v>533</v>
      </c>
      <c r="F1371" s="5">
        <f>IFERROR(VLOOKUP(D1371, Sheet2!$A:$C, 3, FALSE), 0)</f>
        <v>21363.63636363636</v>
      </c>
      <c r="G1371" s="6">
        <f t="shared" si="21"/>
        <v>11386818.18181818</v>
      </c>
    </row>
    <row r="1372" spans="1:7" ht="17.25" x14ac:dyDescent="0.3">
      <c r="A1372" s="23" t="s">
        <v>306</v>
      </c>
      <c r="B1372" s="25" t="s">
        <v>48</v>
      </c>
      <c r="C1372" s="4" t="s">
        <v>338</v>
      </c>
      <c r="D1372" s="11" t="s">
        <v>36</v>
      </c>
      <c r="E1372" s="10">
        <v>281</v>
      </c>
      <c r="F1372" s="5">
        <f>IFERROR(VLOOKUP(D1372, Sheet2!$A:$C, 3, FALSE), 0)</f>
        <v>7899.9999999999991</v>
      </c>
      <c r="G1372" s="6">
        <f t="shared" ref="G1372:G1423" si="22">E1372*F1372</f>
        <v>2219899.9999999995</v>
      </c>
    </row>
    <row r="1373" spans="1:7" ht="17.25" x14ac:dyDescent="0.3">
      <c r="A1373" s="23" t="s">
        <v>306</v>
      </c>
      <c r="B1373" s="22" t="s">
        <v>16</v>
      </c>
      <c r="C1373" s="4" t="s">
        <v>344</v>
      </c>
      <c r="D1373" s="3" t="s">
        <v>22</v>
      </c>
      <c r="E1373" s="7">
        <v>212</v>
      </c>
      <c r="F1373" s="5">
        <f>IFERROR(VLOOKUP(D1373, Sheet2!$A:$C, 3, FALSE), 0)</f>
        <v>5999.9999999999991</v>
      </c>
      <c r="G1373" s="6">
        <f t="shared" si="22"/>
        <v>1271999.9999999998</v>
      </c>
    </row>
    <row r="1374" spans="1:7" ht="17.25" x14ac:dyDescent="0.3">
      <c r="A1374" s="22" t="s">
        <v>306</v>
      </c>
      <c r="B1374" s="22" t="s">
        <v>16</v>
      </c>
      <c r="C1374" s="4" t="s">
        <v>216</v>
      </c>
      <c r="D1374" s="11" t="s">
        <v>37</v>
      </c>
      <c r="E1374" s="7">
        <v>919</v>
      </c>
      <c r="F1374" s="5">
        <f>IFERROR(VLOOKUP(D1374, Sheet2!$A:$C, 3, FALSE), 0)</f>
        <v>6799.9999999999991</v>
      </c>
      <c r="G1374" s="6">
        <f t="shared" si="22"/>
        <v>6249199.9999999991</v>
      </c>
    </row>
    <row r="1375" spans="1:7" ht="17.25" x14ac:dyDescent="0.3">
      <c r="A1375" s="22" t="s">
        <v>306</v>
      </c>
      <c r="B1375" s="22" t="s">
        <v>33</v>
      </c>
      <c r="C1375" s="4" t="s">
        <v>338</v>
      </c>
      <c r="D1375" s="3" t="s">
        <v>36</v>
      </c>
      <c r="E1375" s="7">
        <v>908</v>
      </c>
      <c r="F1375" s="5">
        <f>IFERROR(VLOOKUP(D1375, Sheet2!$A:$C, 3, FALSE), 0)</f>
        <v>7899.9999999999991</v>
      </c>
      <c r="G1375" s="6">
        <f t="shared" si="22"/>
        <v>7173199.9999999991</v>
      </c>
    </row>
    <row r="1376" spans="1:7" ht="17.25" x14ac:dyDescent="0.3">
      <c r="A1376" s="22" t="s">
        <v>306</v>
      </c>
      <c r="B1376" s="22" t="s">
        <v>33</v>
      </c>
      <c r="C1376" s="4" t="s">
        <v>344</v>
      </c>
      <c r="D1376" s="3" t="s">
        <v>20</v>
      </c>
      <c r="E1376" s="7">
        <v>268</v>
      </c>
      <c r="F1376" s="5">
        <f>IFERROR(VLOOKUP(D1376, Sheet2!$A:$C, 3, FALSE), 0)</f>
        <v>6999.9999999999991</v>
      </c>
      <c r="G1376" s="6">
        <f t="shared" si="22"/>
        <v>1875999.9999999998</v>
      </c>
    </row>
    <row r="1377" spans="1:7" ht="17.25" x14ac:dyDescent="0.3">
      <c r="A1377" s="22" t="s">
        <v>306</v>
      </c>
      <c r="B1377" s="25" t="s">
        <v>33</v>
      </c>
      <c r="C1377" s="4" t="s">
        <v>344</v>
      </c>
      <c r="D1377" s="3" t="s">
        <v>52</v>
      </c>
      <c r="E1377" s="7">
        <v>270</v>
      </c>
      <c r="F1377" s="5">
        <f>IFERROR(VLOOKUP(D1377, Sheet2!$A:$C, 3, FALSE), 0)</f>
        <v>5999.9999999999991</v>
      </c>
      <c r="G1377" s="6">
        <f t="shared" si="22"/>
        <v>1619999.9999999998</v>
      </c>
    </row>
    <row r="1378" spans="1:7" ht="17.25" x14ac:dyDescent="0.3">
      <c r="A1378" s="23" t="s">
        <v>306</v>
      </c>
      <c r="B1378" s="22" t="s">
        <v>33</v>
      </c>
      <c r="C1378" s="4" t="s">
        <v>341</v>
      </c>
      <c r="D1378" s="4" t="s">
        <v>110</v>
      </c>
      <c r="E1378" s="7">
        <v>77</v>
      </c>
      <c r="F1378" s="5">
        <f>IFERROR(VLOOKUP(D1378, Sheet2!$A:$C, 3, FALSE), 0)</f>
        <v>2500</v>
      </c>
      <c r="G1378" s="6">
        <f t="shared" si="22"/>
        <v>192500</v>
      </c>
    </row>
    <row r="1379" spans="1:7" ht="17.25" x14ac:dyDescent="0.3">
      <c r="A1379" s="23" t="s">
        <v>306</v>
      </c>
      <c r="B1379" s="22" t="s">
        <v>21</v>
      </c>
      <c r="C1379" s="4" t="s">
        <v>341</v>
      </c>
      <c r="D1379" s="4" t="s">
        <v>17</v>
      </c>
      <c r="E1379" s="7">
        <v>54</v>
      </c>
      <c r="F1379" s="5">
        <f>IFERROR(VLOOKUP(D1379, Sheet2!$A:$C, 3, FALSE), 0)</f>
        <v>11700</v>
      </c>
      <c r="G1379" s="6">
        <f t="shared" si="22"/>
        <v>631800</v>
      </c>
    </row>
    <row r="1380" spans="1:7" ht="17.25" x14ac:dyDescent="0.3">
      <c r="A1380" s="23" t="s">
        <v>307</v>
      </c>
      <c r="B1380" s="22" t="s">
        <v>23</v>
      </c>
      <c r="C1380" s="4" t="s">
        <v>344</v>
      </c>
      <c r="D1380" s="3" t="s">
        <v>20</v>
      </c>
      <c r="E1380" s="7">
        <v>252</v>
      </c>
      <c r="F1380" s="5">
        <f>IFERROR(VLOOKUP(D1380, Sheet2!$A:$C, 3, FALSE), 0)</f>
        <v>6999.9999999999991</v>
      </c>
      <c r="G1380" s="6">
        <f t="shared" si="22"/>
        <v>1763999.9999999998</v>
      </c>
    </row>
    <row r="1381" spans="1:7" ht="17.25" x14ac:dyDescent="0.3">
      <c r="A1381" s="22" t="s">
        <v>307</v>
      </c>
      <c r="B1381" s="22" t="s">
        <v>23</v>
      </c>
      <c r="C1381" s="4" t="s">
        <v>342</v>
      </c>
      <c r="D1381" s="4" t="s">
        <v>61</v>
      </c>
      <c r="E1381" s="7">
        <v>51</v>
      </c>
      <c r="F1381" s="5">
        <f>IFERROR(VLOOKUP(D1381, Sheet2!$A:$C, 3, FALSE), 0)</f>
        <v>7363.6363636363631</v>
      </c>
      <c r="G1381" s="6">
        <f t="shared" si="22"/>
        <v>375545.45454545453</v>
      </c>
    </row>
    <row r="1382" spans="1:7" ht="17.25" x14ac:dyDescent="0.3">
      <c r="A1382" s="22" t="s">
        <v>307</v>
      </c>
      <c r="B1382" s="22" t="s">
        <v>27</v>
      </c>
      <c r="C1382" s="4" t="s">
        <v>342</v>
      </c>
      <c r="D1382" s="4" t="s">
        <v>61</v>
      </c>
      <c r="E1382" s="7">
        <v>39</v>
      </c>
      <c r="F1382" s="5">
        <f>IFERROR(VLOOKUP(D1382, Sheet2!$A:$C, 3, FALSE), 0)</f>
        <v>7363.6363636363631</v>
      </c>
      <c r="G1382" s="6">
        <f t="shared" si="22"/>
        <v>287181.81818181818</v>
      </c>
    </row>
    <row r="1383" spans="1:7" ht="17.25" x14ac:dyDescent="0.3">
      <c r="A1383" s="22" t="s">
        <v>307</v>
      </c>
      <c r="B1383" s="22" t="s">
        <v>43</v>
      </c>
      <c r="C1383" s="4" t="s">
        <v>344</v>
      </c>
      <c r="D1383" s="3" t="s">
        <v>52</v>
      </c>
      <c r="E1383" s="7">
        <v>292</v>
      </c>
      <c r="F1383" s="5">
        <f>IFERROR(VLOOKUP(D1383, Sheet2!$A:$C, 3, FALSE), 0)</f>
        <v>5999.9999999999991</v>
      </c>
      <c r="G1383" s="6">
        <f t="shared" si="22"/>
        <v>1751999.9999999998</v>
      </c>
    </row>
    <row r="1384" spans="1:7" ht="17.25" x14ac:dyDescent="0.3">
      <c r="A1384" s="22" t="s">
        <v>307</v>
      </c>
      <c r="B1384" s="22" t="s">
        <v>19</v>
      </c>
      <c r="C1384" s="4" t="s">
        <v>341</v>
      </c>
      <c r="D1384" s="4" t="s">
        <v>68</v>
      </c>
      <c r="E1384" s="7">
        <v>118</v>
      </c>
      <c r="F1384" s="5">
        <f>IFERROR(VLOOKUP(D1384, Sheet2!$A:$C, 3, FALSE), 0)</f>
        <v>13400</v>
      </c>
      <c r="G1384" s="6">
        <f t="shared" si="22"/>
        <v>1581200</v>
      </c>
    </row>
    <row r="1385" spans="1:7" ht="17.25" x14ac:dyDescent="0.3">
      <c r="A1385" s="23" t="s">
        <v>308</v>
      </c>
      <c r="B1385" s="22" t="s">
        <v>19</v>
      </c>
      <c r="C1385" s="4" t="s">
        <v>338</v>
      </c>
      <c r="D1385" s="3" t="s">
        <v>73</v>
      </c>
      <c r="E1385" s="7">
        <v>515</v>
      </c>
      <c r="F1385" s="5">
        <f>IFERROR(VLOOKUP(D1385, Sheet2!$A:$C, 3, FALSE), 0)</f>
        <v>7899.9999999999991</v>
      </c>
      <c r="G1385" s="6">
        <f t="shared" si="22"/>
        <v>4068499.9999999995</v>
      </c>
    </row>
    <row r="1386" spans="1:7" ht="17.25" x14ac:dyDescent="0.3">
      <c r="A1386" s="23" t="s">
        <v>308</v>
      </c>
      <c r="B1386" s="22" t="s">
        <v>46</v>
      </c>
      <c r="C1386" s="4" t="s">
        <v>344</v>
      </c>
      <c r="D1386" s="3" t="s">
        <v>53</v>
      </c>
      <c r="E1386" s="7">
        <v>518</v>
      </c>
      <c r="F1386" s="5">
        <f>IFERROR(VLOOKUP(D1386, Sheet2!$A:$C, 3, FALSE), 0)</f>
        <v>5818.181818181818</v>
      </c>
      <c r="G1386" s="6">
        <f t="shared" si="22"/>
        <v>3013818.1818181816</v>
      </c>
    </row>
    <row r="1387" spans="1:7" ht="17.25" x14ac:dyDescent="0.3">
      <c r="A1387" s="23" t="s">
        <v>308</v>
      </c>
      <c r="B1387" s="22" t="s">
        <v>314</v>
      </c>
      <c r="C1387" s="4" t="s">
        <v>337</v>
      </c>
      <c r="D1387" s="3" t="s">
        <v>78</v>
      </c>
      <c r="E1387" s="7">
        <v>1890</v>
      </c>
      <c r="F1387" s="5">
        <f>IFERROR(VLOOKUP(D1387, Sheet2!$A:$C, 3, FALSE), 0)</f>
        <v>14999.999999999998</v>
      </c>
      <c r="G1387" s="6">
        <f t="shared" si="22"/>
        <v>28349999.999999996</v>
      </c>
    </row>
    <row r="1388" spans="1:7" ht="17.25" x14ac:dyDescent="0.3">
      <c r="A1388" s="22" t="s">
        <v>308</v>
      </c>
      <c r="B1388" s="22" t="s">
        <v>23</v>
      </c>
      <c r="C1388" s="4" t="s">
        <v>337</v>
      </c>
      <c r="D1388" s="3" t="s">
        <v>186</v>
      </c>
      <c r="E1388" s="7">
        <v>150</v>
      </c>
      <c r="F1388" s="5">
        <f>IFERROR(VLOOKUP(D1388, Sheet2!$A:$C, 3, FALSE), 0)</f>
        <v>14545.454545454544</v>
      </c>
      <c r="G1388" s="6">
        <f t="shared" si="22"/>
        <v>2181818.1818181816</v>
      </c>
    </row>
    <row r="1389" spans="1:7" ht="17.25" x14ac:dyDescent="0.3">
      <c r="A1389" s="23" t="s">
        <v>308</v>
      </c>
      <c r="B1389" s="22" t="s">
        <v>29</v>
      </c>
      <c r="C1389" s="4" t="s">
        <v>342</v>
      </c>
      <c r="D1389" s="4" t="s">
        <v>61</v>
      </c>
      <c r="E1389" s="7">
        <v>20</v>
      </c>
      <c r="F1389" s="5">
        <f>IFERROR(VLOOKUP(D1389, Sheet2!$A:$C, 3, FALSE), 0)</f>
        <v>7363.6363636363631</v>
      </c>
      <c r="G1389" s="6">
        <f t="shared" si="22"/>
        <v>147272.72727272726</v>
      </c>
    </row>
    <row r="1390" spans="1:7" ht="17.25" x14ac:dyDescent="0.3">
      <c r="A1390" s="22" t="s">
        <v>308</v>
      </c>
      <c r="B1390" s="22" t="s">
        <v>11</v>
      </c>
      <c r="C1390" s="4" t="s">
        <v>344</v>
      </c>
      <c r="D1390" s="3" t="s">
        <v>52</v>
      </c>
      <c r="E1390" s="7">
        <v>199</v>
      </c>
      <c r="F1390" s="5">
        <f>IFERROR(VLOOKUP(D1390, Sheet2!$A:$C, 3, FALSE), 0)</f>
        <v>5999.9999999999991</v>
      </c>
      <c r="G1390" s="6">
        <f t="shared" si="22"/>
        <v>1193999.9999999998</v>
      </c>
    </row>
    <row r="1391" spans="1:7" ht="17.25" x14ac:dyDescent="0.3">
      <c r="A1391" s="22" t="s">
        <v>308</v>
      </c>
      <c r="B1391" s="22" t="s">
        <v>8</v>
      </c>
      <c r="C1391" s="4" t="s">
        <v>215</v>
      </c>
      <c r="D1391" s="3" t="s">
        <v>178</v>
      </c>
      <c r="E1391" s="7">
        <v>983</v>
      </c>
      <c r="F1391" s="5">
        <f>IFERROR(VLOOKUP(D1391, Sheet2!$A:$C, 3, FALSE), 0)</f>
        <v>8545.4545454545441</v>
      </c>
      <c r="G1391" s="6">
        <f t="shared" si="22"/>
        <v>8400181.8181818165</v>
      </c>
    </row>
    <row r="1392" spans="1:7" ht="17.25" x14ac:dyDescent="0.3">
      <c r="A1392" s="23" t="s">
        <v>308</v>
      </c>
      <c r="B1392" s="22" t="s">
        <v>33</v>
      </c>
      <c r="C1392" s="4" t="s">
        <v>342</v>
      </c>
      <c r="D1392" s="3" t="s">
        <v>35</v>
      </c>
      <c r="E1392" s="7">
        <v>97</v>
      </c>
      <c r="F1392" s="5">
        <f>IFERROR(VLOOKUP(D1392, Sheet2!$A:$C, 3, FALSE), 0)</f>
        <v>8363.6363636363621</v>
      </c>
      <c r="G1392" s="6">
        <f t="shared" si="22"/>
        <v>811272.72727272718</v>
      </c>
    </row>
    <row r="1393" spans="1:7" ht="17.25" x14ac:dyDescent="0.3">
      <c r="A1393" s="22" t="s">
        <v>308</v>
      </c>
      <c r="B1393" s="22" t="s">
        <v>33</v>
      </c>
      <c r="C1393" s="4" t="s">
        <v>337</v>
      </c>
      <c r="D1393" s="3" t="s">
        <v>9</v>
      </c>
      <c r="E1393" s="7">
        <v>773</v>
      </c>
      <c r="F1393" s="5">
        <f>IFERROR(VLOOKUP(D1393, Sheet2!$A:$C, 3, FALSE), 0)</f>
        <v>18636.363636363636</v>
      </c>
      <c r="G1393" s="6">
        <f t="shared" si="22"/>
        <v>14405909.09090909</v>
      </c>
    </row>
    <row r="1394" spans="1:7" ht="17.25" x14ac:dyDescent="0.3">
      <c r="A1394" s="23" t="s">
        <v>308</v>
      </c>
      <c r="B1394" s="22" t="s">
        <v>99</v>
      </c>
      <c r="C1394" s="4" t="s">
        <v>341</v>
      </c>
      <c r="D1394" s="4" t="s">
        <v>17</v>
      </c>
      <c r="E1394" s="7">
        <v>234</v>
      </c>
      <c r="F1394" s="5">
        <f>IFERROR(VLOOKUP(D1394, Sheet2!$A:$C, 3, FALSE), 0)</f>
        <v>11700</v>
      </c>
      <c r="G1394" s="6">
        <f t="shared" si="22"/>
        <v>2737800</v>
      </c>
    </row>
    <row r="1395" spans="1:7" ht="17.25" x14ac:dyDescent="0.3">
      <c r="A1395" s="22" t="s">
        <v>309</v>
      </c>
      <c r="B1395" s="22" t="s">
        <v>24</v>
      </c>
      <c r="C1395" s="4" t="s">
        <v>338</v>
      </c>
      <c r="D1395" s="11" t="s">
        <v>28</v>
      </c>
      <c r="E1395" s="10">
        <v>301</v>
      </c>
      <c r="F1395" s="5">
        <f>IFERROR(VLOOKUP(D1395, Sheet2!$A:$C, 3, FALSE), 0)</f>
        <v>7899.9999999999991</v>
      </c>
      <c r="G1395" s="6">
        <f t="shared" si="22"/>
        <v>2377899.9999999995</v>
      </c>
    </row>
    <row r="1396" spans="1:7" ht="17.25" x14ac:dyDescent="0.3">
      <c r="A1396" s="22" t="s">
        <v>309</v>
      </c>
      <c r="B1396" s="22" t="s">
        <v>24</v>
      </c>
      <c r="C1396" s="4" t="s">
        <v>338</v>
      </c>
      <c r="D1396" s="3" t="s">
        <v>36</v>
      </c>
      <c r="E1396" s="7">
        <v>231</v>
      </c>
      <c r="F1396" s="5">
        <f>IFERROR(VLOOKUP(D1396, Sheet2!$A:$C, 3, FALSE), 0)</f>
        <v>7899.9999999999991</v>
      </c>
      <c r="G1396" s="6">
        <f t="shared" si="22"/>
        <v>1824899.9999999998</v>
      </c>
    </row>
    <row r="1397" spans="1:7" ht="17.25" x14ac:dyDescent="0.3">
      <c r="A1397" s="23" t="s">
        <v>309</v>
      </c>
      <c r="B1397" s="22" t="s">
        <v>75</v>
      </c>
      <c r="C1397" s="4" t="s">
        <v>215</v>
      </c>
      <c r="D1397" s="11" t="s">
        <v>264</v>
      </c>
      <c r="E1397" s="7">
        <v>573</v>
      </c>
      <c r="F1397" s="5">
        <f>IFERROR(VLOOKUP(D1397, Sheet2!$A:$C, 3, FALSE), 0)</f>
        <v>4454.545454545454</v>
      </c>
      <c r="G1397" s="6">
        <f t="shared" si="22"/>
        <v>2552454.5454545449</v>
      </c>
    </row>
    <row r="1398" spans="1:7" ht="17.25" x14ac:dyDescent="0.3">
      <c r="A1398" s="23" t="s">
        <v>309</v>
      </c>
      <c r="B1398" s="22" t="s">
        <v>8</v>
      </c>
      <c r="C1398" s="4" t="s">
        <v>215</v>
      </c>
      <c r="D1398" s="11" t="s">
        <v>264</v>
      </c>
      <c r="E1398" s="7">
        <v>407</v>
      </c>
      <c r="F1398" s="5">
        <f>IFERROR(VLOOKUP(D1398, Sheet2!$A:$C, 3, FALSE), 0)</f>
        <v>4454.545454545454</v>
      </c>
      <c r="G1398" s="6">
        <f t="shared" si="22"/>
        <v>1812999.9999999998</v>
      </c>
    </row>
    <row r="1399" spans="1:7" ht="17.25" x14ac:dyDescent="0.3">
      <c r="A1399" s="23" t="s">
        <v>309</v>
      </c>
      <c r="B1399" s="22" t="s">
        <v>8</v>
      </c>
      <c r="C1399" s="4" t="s">
        <v>344</v>
      </c>
      <c r="D1399" s="3" t="s">
        <v>22</v>
      </c>
      <c r="E1399" s="7">
        <v>266</v>
      </c>
      <c r="F1399" s="5">
        <f>IFERROR(VLOOKUP(D1399, Sheet2!$A:$C, 3, FALSE), 0)</f>
        <v>5999.9999999999991</v>
      </c>
      <c r="G1399" s="6">
        <f t="shared" si="22"/>
        <v>1595999.9999999998</v>
      </c>
    </row>
    <row r="1400" spans="1:7" ht="17.25" x14ac:dyDescent="0.3">
      <c r="A1400" s="23" t="s">
        <v>309</v>
      </c>
      <c r="B1400" s="22" t="s">
        <v>60</v>
      </c>
      <c r="C1400" s="4" t="s">
        <v>339</v>
      </c>
      <c r="D1400" s="3" t="s">
        <v>10</v>
      </c>
      <c r="E1400" s="7">
        <v>150</v>
      </c>
      <c r="F1400" s="5">
        <f>IFERROR(VLOOKUP(D1400, Sheet2!$A:$C, 3, FALSE), 0)</f>
        <v>20818.181818181816</v>
      </c>
      <c r="G1400" s="6">
        <f t="shared" si="22"/>
        <v>3122727.2727272725</v>
      </c>
    </row>
    <row r="1401" spans="1:7" ht="17.25" x14ac:dyDescent="0.3">
      <c r="A1401" s="23" t="s">
        <v>309</v>
      </c>
      <c r="B1401" s="22" t="s">
        <v>103</v>
      </c>
      <c r="C1401" s="4" t="s">
        <v>338</v>
      </c>
      <c r="D1401" s="3" t="s">
        <v>36</v>
      </c>
      <c r="E1401" s="7">
        <v>302</v>
      </c>
      <c r="F1401" s="5">
        <f>IFERROR(VLOOKUP(D1401, Sheet2!$A:$C, 3, FALSE), 0)</f>
        <v>7899.9999999999991</v>
      </c>
      <c r="G1401" s="6">
        <f t="shared" si="22"/>
        <v>2385799.9999999995</v>
      </c>
    </row>
    <row r="1402" spans="1:7" ht="17.25" x14ac:dyDescent="0.3">
      <c r="A1402" s="23" t="s">
        <v>310</v>
      </c>
      <c r="B1402" s="22" t="s">
        <v>21</v>
      </c>
      <c r="C1402" s="4" t="s">
        <v>215</v>
      </c>
      <c r="D1402" s="3" t="s">
        <v>177</v>
      </c>
      <c r="E1402" s="7">
        <v>732</v>
      </c>
      <c r="F1402" s="5">
        <f>IFERROR(VLOOKUP(D1402, Sheet2!$A:$C, 3, FALSE), 0)</f>
        <v>10000</v>
      </c>
      <c r="G1402" s="6">
        <f t="shared" si="22"/>
        <v>7320000</v>
      </c>
    </row>
    <row r="1403" spans="1:7" ht="17.25" x14ac:dyDescent="0.3">
      <c r="A1403" s="22" t="s">
        <v>310</v>
      </c>
      <c r="B1403" s="22" t="s">
        <v>25</v>
      </c>
      <c r="C1403" s="4" t="s">
        <v>344</v>
      </c>
      <c r="D1403" s="3" t="s">
        <v>44</v>
      </c>
      <c r="E1403" s="7">
        <v>243</v>
      </c>
      <c r="F1403" s="5">
        <f>IFERROR(VLOOKUP(D1403, Sheet2!$A:$C, 3, FALSE), 0)</f>
        <v>5909.090909090909</v>
      </c>
      <c r="G1403" s="6">
        <f t="shared" si="22"/>
        <v>1435909.0909090908</v>
      </c>
    </row>
    <row r="1404" spans="1:7" ht="17.25" x14ac:dyDescent="0.3">
      <c r="A1404" s="22" t="s">
        <v>310</v>
      </c>
      <c r="B1404" s="22" t="s">
        <v>75</v>
      </c>
      <c r="C1404" s="4" t="s">
        <v>344</v>
      </c>
      <c r="D1404" s="3" t="s">
        <v>15</v>
      </c>
      <c r="E1404" s="7">
        <v>369</v>
      </c>
      <c r="F1404" s="5">
        <f>IFERROR(VLOOKUP(D1404, Sheet2!$A:$C, 3, FALSE), 0)</f>
        <v>3863.6363636363635</v>
      </c>
      <c r="G1404" s="6">
        <f t="shared" si="22"/>
        <v>1425681.8181818181</v>
      </c>
    </row>
    <row r="1405" spans="1:7" ht="17.25" x14ac:dyDescent="0.3">
      <c r="A1405" s="22" t="s">
        <v>310</v>
      </c>
      <c r="B1405" s="22" t="s">
        <v>48</v>
      </c>
      <c r="C1405" s="4" t="s">
        <v>215</v>
      </c>
      <c r="D1405" s="3" t="s">
        <v>264</v>
      </c>
      <c r="E1405" s="7">
        <v>368</v>
      </c>
      <c r="F1405" s="5">
        <f>IFERROR(VLOOKUP(D1405, Sheet2!$A:$C, 3, FALSE), 0)</f>
        <v>4454.545454545454</v>
      </c>
      <c r="G1405" s="6">
        <f t="shared" si="22"/>
        <v>1639272.7272727271</v>
      </c>
    </row>
    <row r="1406" spans="1:7" ht="17.25" x14ac:dyDescent="0.3">
      <c r="A1406" s="22" t="s">
        <v>310</v>
      </c>
      <c r="B1406" s="22" t="s">
        <v>11</v>
      </c>
      <c r="C1406" s="4" t="s">
        <v>337</v>
      </c>
      <c r="D1406" s="3" t="s">
        <v>94</v>
      </c>
      <c r="E1406" s="7">
        <v>1000</v>
      </c>
      <c r="F1406" s="5">
        <f>IFERROR(VLOOKUP(D1406, Sheet2!$A:$C, 3, FALSE), 0)</f>
        <v>14181.81818181818</v>
      </c>
      <c r="G1406" s="6">
        <f t="shared" si="22"/>
        <v>14181818.18181818</v>
      </c>
    </row>
    <row r="1407" spans="1:7" ht="17.25" x14ac:dyDescent="0.3">
      <c r="A1407" s="22" t="s">
        <v>310</v>
      </c>
      <c r="B1407" s="22" t="s">
        <v>43</v>
      </c>
      <c r="C1407" s="4" t="s">
        <v>337</v>
      </c>
      <c r="D1407" s="3" t="s">
        <v>144</v>
      </c>
      <c r="E1407" s="7">
        <v>1366</v>
      </c>
      <c r="F1407" s="5">
        <f>IFERROR(VLOOKUP(D1407, Sheet2!$A:$C, 3, FALSE), 0)</f>
        <v>10272.727272727272</v>
      </c>
      <c r="G1407" s="6">
        <f t="shared" si="22"/>
        <v>14032545.454545453</v>
      </c>
    </row>
    <row r="1408" spans="1:7" ht="17.25" x14ac:dyDescent="0.3">
      <c r="A1408" s="22" t="s">
        <v>310</v>
      </c>
      <c r="B1408" s="22" t="s">
        <v>43</v>
      </c>
      <c r="C1408" s="4" t="s">
        <v>337</v>
      </c>
      <c r="D1408" s="9" t="s">
        <v>70</v>
      </c>
      <c r="E1408" s="7">
        <v>361</v>
      </c>
      <c r="F1408" s="5">
        <f>IFERROR(VLOOKUP(D1408, Sheet2!$A:$C, 3, FALSE), 0)</f>
        <v>18636.363636363636</v>
      </c>
      <c r="G1408" s="6">
        <f t="shared" si="22"/>
        <v>6727727.2727272725</v>
      </c>
    </row>
    <row r="1409" spans="1:7" ht="17.25" x14ac:dyDescent="0.3">
      <c r="A1409" s="22" t="s">
        <v>310</v>
      </c>
      <c r="B1409" s="22" t="s">
        <v>33</v>
      </c>
      <c r="C1409" s="4" t="s">
        <v>341</v>
      </c>
      <c r="D1409" s="4" t="s">
        <v>68</v>
      </c>
      <c r="E1409" s="7">
        <v>116</v>
      </c>
      <c r="F1409" s="5">
        <f>IFERROR(VLOOKUP(D1409, Sheet2!$A:$C, 3, FALSE), 0)</f>
        <v>13400</v>
      </c>
      <c r="G1409" s="6">
        <f t="shared" si="22"/>
        <v>1554400</v>
      </c>
    </row>
    <row r="1410" spans="1:7" ht="17.25" x14ac:dyDescent="0.3">
      <c r="A1410" s="23" t="s">
        <v>310</v>
      </c>
      <c r="B1410" s="22" t="s">
        <v>33</v>
      </c>
      <c r="C1410" s="4" t="s">
        <v>337</v>
      </c>
      <c r="D1410" s="3" t="s">
        <v>144</v>
      </c>
      <c r="E1410" s="7">
        <v>775</v>
      </c>
      <c r="F1410" s="5">
        <f>IFERROR(VLOOKUP(D1410, Sheet2!$A:$C, 3, FALSE), 0)</f>
        <v>10272.727272727272</v>
      </c>
      <c r="G1410" s="6">
        <f t="shared" si="22"/>
        <v>7961363.6363636358</v>
      </c>
    </row>
    <row r="1411" spans="1:7" ht="17.25" x14ac:dyDescent="0.3">
      <c r="A1411" s="22" t="s">
        <v>310</v>
      </c>
      <c r="B1411" s="25" t="s">
        <v>33</v>
      </c>
      <c r="C1411" s="4" t="s">
        <v>344</v>
      </c>
      <c r="D1411" s="3" t="s">
        <v>44</v>
      </c>
      <c r="E1411" s="7">
        <v>350</v>
      </c>
      <c r="F1411" s="5">
        <f>IFERROR(VLOOKUP(D1411, Sheet2!$A:$C, 3, FALSE), 0)</f>
        <v>5909.090909090909</v>
      </c>
      <c r="G1411" s="6">
        <f t="shared" si="22"/>
        <v>2068181.8181818181</v>
      </c>
    </row>
    <row r="1412" spans="1:7" ht="17.25" x14ac:dyDescent="0.3">
      <c r="A1412" s="23" t="s">
        <v>310</v>
      </c>
      <c r="B1412" s="22" t="s">
        <v>33</v>
      </c>
      <c r="C1412" s="4" t="s">
        <v>341</v>
      </c>
      <c r="D1412" s="4" t="s">
        <v>110</v>
      </c>
      <c r="E1412" s="7">
        <v>64</v>
      </c>
      <c r="F1412" s="5">
        <f>IFERROR(VLOOKUP(D1412, Sheet2!$A:$C, 3, FALSE), 0)</f>
        <v>2500</v>
      </c>
      <c r="G1412" s="6">
        <f t="shared" si="22"/>
        <v>160000</v>
      </c>
    </row>
    <row r="1413" spans="1:7" ht="17.25" x14ac:dyDescent="0.3">
      <c r="A1413" s="23" t="s">
        <v>310</v>
      </c>
      <c r="B1413" s="22" t="s">
        <v>19</v>
      </c>
      <c r="C1413" s="4" t="s">
        <v>341</v>
      </c>
      <c r="D1413" s="4" t="s">
        <v>17</v>
      </c>
      <c r="E1413" s="7">
        <v>30</v>
      </c>
      <c r="F1413" s="5">
        <f>IFERROR(VLOOKUP(D1413, Sheet2!$A:$C, 3, FALSE), 0)</f>
        <v>11700</v>
      </c>
      <c r="G1413" s="6">
        <f t="shared" si="22"/>
        <v>351000</v>
      </c>
    </row>
    <row r="1414" spans="1:7" ht="17.25" x14ac:dyDescent="0.3">
      <c r="A1414" s="22" t="s">
        <v>311</v>
      </c>
      <c r="B1414" s="22" t="s">
        <v>103</v>
      </c>
      <c r="C1414" s="4" t="s">
        <v>344</v>
      </c>
      <c r="D1414" s="3" t="s">
        <v>20</v>
      </c>
      <c r="E1414" s="7">
        <v>232</v>
      </c>
      <c r="F1414" s="5">
        <f>IFERROR(VLOOKUP(D1414, Sheet2!$A:$C, 3, FALSE), 0)</f>
        <v>6999.9999999999991</v>
      </c>
      <c r="G1414" s="6">
        <f t="shared" si="22"/>
        <v>1623999.9999999998</v>
      </c>
    </row>
    <row r="1415" spans="1:7" ht="17.25" x14ac:dyDescent="0.3">
      <c r="A1415" s="23" t="s">
        <v>311</v>
      </c>
      <c r="B1415" s="22" t="s">
        <v>31</v>
      </c>
      <c r="C1415" s="4" t="s">
        <v>338</v>
      </c>
      <c r="D1415" s="3" t="s">
        <v>36</v>
      </c>
      <c r="E1415" s="7">
        <v>511</v>
      </c>
      <c r="F1415" s="5">
        <f>IFERROR(VLOOKUP(D1415, Sheet2!$A:$C, 3, FALSE), 0)</f>
        <v>7899.9999999999991</v>
      </c>
      <c r="G1415" s="6">
        <f t="shared" si="22"/>
        <v>4036899.9999999995</v>
      </c>
    </row>
    <row r="1416" spans="1:7" ht="17.25" x14ac:dyDescent="0.3">
      <c r="A1416" s="23" t="s">
        <v>311</v>
      </c>
      <c r="B1416" s="22" t="s">
        <v>25</v>
      </c>
      <c r="C1416" s="4" t="s">
        <v>344</v>
      </c>
      <c r="D1416" s="3" t="s">
        <v>32</v>
      </c>
      <c r="E1416" s="7">
        <v>622</v>
      </c>
      <c r="F1416" s="5">
        <f>IFERROR(VLOOKUP(D1416, Sheet2!$A:$C, 3, FALSE), 0)</f>
        <v>4363.6363636363631</v>
      </c>
      <c r="G1416" s="6">
        <f t="shared" si="22"/>
        <v>2714181.8181818179</v>
      </c>
    </row>
    <row r="1417" spans="1:7" ht="17.25" x14ac:dyDescent="0.3">
      <c r="A1417" s="22" t="s">
        <v>311</v>
      </c>
      <c r="B1417" s="22" t="s">
        <v>25</v>
      </c>
      <c r="C1417" s="4" t="s">
        <v>337</v>
      </c>
      <c r="D1417" s="3" t="s">
        <v>70</v>
      </c>
      <c r="E1417" s="7">
        <v>781</v>
      </c>
      <c r="F1417" s="5">
        <f>IFERROR(VLOOKUP(D1417, Sheet2!$A:$C, 3, FALSE), 0)</f>
        <v>18636.363636363636</v>
      </c>
      <c r="G1417" s="6">
        <f t="shared" si="22"/>
        <v>14555000</v>
      </c>
    </row>
    <row r="1418" spans="1:7" ht="17.25" x14ac:dyDescent="0.3">
      <c r="A1418" s="23" t="s">
        <v>311</v>
      </c>
      <c r="B1418" s="22" t="s">
        <v>102</v>
      </c>
      <c r="C1418" s="4" t="s">
        <v>344</v>
      </c>
      <c r="D1418" s="3" t="s">
        <v>22</v>
      </c>
      <c r="E1418" s="7">
        <v>175</v>
      </c>
      <c r="F1418" s="5">
        <f>IFERROR(VLOOKUP(D1418, Sheet2!$A:$C, 3, FALSE), 0)</f>
        <v>5999.9999999999991</v>
      </c>
      <c r="G1418" s="6">
        <f t="shared" si="22"/>
        <v>1049999.9999999998</v>
      </c>
    </row>
    <row r="1419" spans="1:7" ht="17.25" x14ac:dyDescent="0.3">
      <c r="A1419" s="22" t="s">
        <v>311</v>
      </c>
      <c r="B1419" s="22" t="s">
        <v>48</v>
      </c>
      <c r="C1419" s="4" t="s">
        <v>338</v>
      </c>
      <c r="D1419" s="3" t="s">
        <v>36</v>
      </c>
      <c r="E1419" s="7">
        <v>341</v>
      </c>
      <c r="F1419" s="5">
        <f>IFERROR(VLOOKUP(D1419, Sheet2!$A:$C, 3, FALSE), 0)</f>
        <v>7899.9999999999991</v>
      </c>
      <c r="G1419" s="6">
        <f t="shared" si="22"/>
        <v>2693899.9999999995</v>
      </c>
    </row>
    <row r="1420" spans="1:7" ht="17.25" x14ac:dyDescent="0.3">
      <c r="A1420" s="22" t="s">
        <v>311</v>
      </c>
      <c r="B1420" s="22" t="s">
        <v>48</v>
      </c>
      <c r="C1420" s="4" t="s">
        <v>337</v>
      </c>
      <c r="D1420" s="3" t="s">
        <v>94</v>
      </c>
      <c r="E1420" s="7">
        <v>857</v>
      </c>
      <c r="F1420" s="5">
        <f>IFERROR(VLOOKUP(D1420, Sheet2!$A:$C, 3, FALSE), 0)</f>
        <v>14181.81818181818</v>
      </c>
      <c r="G1420" s="6">
        <f t="shared" si="22"/>
        <v>12153818.18181818</v>
      </c>
    </row>
    <row r="1421" spans="1:7" ht="17.25" x14ac:dyDescent="0.3">
      <c r="A1421" s="23" t="s">
        <v>311</v>
      </c>
      <c r="B1421" s="22" t="s">
        <v>63</v>
      </c>
      <c r="C1421" s="4" t="s">
        <v>216</v>
      </c>
      <c r="D1421" s="3" t="s">
        <v>37</v>
      </c>
      <c r="E1421" s="7">
        <v>40</v>
      </c>
      <c r="F1421" s="5">
        <f>IFERROR(VLOOKUP(D1421, Sheet2!$A:$C, 3, FALSE), 0)</f>
        <v>6799.9999999999991</v>
      </c>
      <c r="G1421" s="6">
        <f t="shared" si="22"/>
        <v>271999.99999999994</v>
      </c>
    </row>
    <row r="1422" spans="1:7" ht="17.25" x14ac:dyDescent="0.3">
      <c r="A1422" s="23" t="s">
        <v>311</v>
      </c>
      <c r="B1422" s="25" t="s">
        <v>33</v>
      </c>
      <c r="C1422" s="4" t="s">
        <v>343</v>
      </c>
      <c r="D1422" s="3" t="s">
        <v>109</v>
      </c>
      <c r="E1422" s="7">
        <v>1132</v>
      </c>
      <c r="F1422" s="5">
        <f>IFERROR(VLOOKUP(D1422, Sheet2!$A:$C, 3, FALSE), 0)</f>
        <v>10454.545454545454</v>
      </c>
      <c r="G1422" s="6">
        <f t="shared" si="22"/>
        <v>11834545.454545453</v>
      </c>
    </row>
    <row r="1423" spans="1:7" ht="17.25" x14ac:dyDescent="0.3">
      <c r="A1423" s="22" t="s">
        <v>311</v>
      </c>
      <c r="B1423" s="22" t="s">
        <v>33</v>
      </c>
      <c r="C1423" s="4" t="s">
        <v>341</v>
      </c>
      <c r="D1423" s="4" t="s">
        <v>110</v>
      </c>
      <c r="E1423" s="7">
        <v>76</v>
      </c>
      <c r="F1423" s="5">
        <f>IFERROR(VLOOKUP(D1423, Sheet2!$A:$C, 3, FALSE), 0)</f>
        <v>2500</v>
      </c>
      <c r="G1423" s="6">
        <f t="shared" si="22"/>
        <v>190000</v>
      </c>
    </row>
    <row r="1424" spans="1:7" ht="17.25" x14ac:dyDescent="0.3">
      <c r="A1424" s="23" t="s">
        <v>311</v>
      </c>
      <c r="B1424" s="22" t="s">
        <v>24</v>
      </c>
      <c r="C1424" s="4" t="s">
        <v>344</v>
      </c>
      <c r="D1424" s="3" t="s">
        <v>56</v>
      </c>
      <c r="E1424" s="7">
        <v>164</v>
      </c>
      <c r="F1424" s="5">
        <f>IFERROR(VLOOKUP(D1424, Sheet2!$A:$C, 3, FALSE), 0)</f>
        <v>5545.454545454545</v>
      </c>
      <c r="G1424" s="6">
        <f t="shared" ref="G1424:G1487" si="23">E1424*F1424</f>
        <v>909454.54545454541</v>
      </c>
    </row>
    <row r="1425" spans="1:7" ht="17.25" x14ac:dyDescent="0.3">
      <c r="A1425" s="22" t="s">
        <v>312</v>
      </c>
      <c r="B1425" s="22" t="s">
        <v>24</v>
      </c>
      <c r="C1425" s="4" t="s">
        <v>338</v>
      </c>
      <c r="D1425" s="3" t="s">
        <v>73</v>
      </c>
      <c r="E1425" s="7">
        <v>319</v>
      </c>
      <c r="F1425" s="5">
        <f>IFERROR(VLOOKUP(D1425, Sheet2!$A:$C, 3, FALSE), 0)</f>
        <v>7899.9999999999991</v>
      </c>
      <c r="G1425" s="6">
        <f t="shared" si="23"/>
        <v>2520099.9999999995</v>
      </c>
    </row>
    <row r="1426" spans="1:7" ht="17.25" x14ac:dyDescent="0.3">
      <c r="A1426" s="22" t="s">
        <v>312</v>
      </c>
      <c r="B1426" s="22" t="s">
        <v>24</v>
      </c>
      <c r="C1426" s="4" t="s">
        <v>344</v>
      </c>
      <c r="D1426" s="3" t="s">
        <v>313</v>
      </c>
      <c r="E1426" s="7">
        <v>4691</v>
      </c>
      <c r="F1426" s="5">
        <f>IFERROR(VLOOKUP(D1426, Sheet2!$A:$C, 3, FALSE), 0)</f>
        <v>727.27272727272725</v>
      </c>
      <c r="G1426" s="6">
        <f t="shared" si="23"/>
        <v>3411636.3636363638</v>
      </c>
    </row>
    <row r="1427" spans="1:7" ht="17.25" x14ac:dyDescent="0.3">
      <c r="A1427" s="22" t="s">
        <v>312</v>
      </c>
      <c r="B1427" s="22" t="s">
        <v>24</v>
      </c>
      <c r="C1427" s="4" t="s">
        <v>341</v>
      </c>
      <c r="D1427" s="4" t="s">
        <v>68</v>
      </c>
      <c r="E1427" s="7">
        <v>90</v>
      </c>
      <c r="F1427" s="5">
        <f>IFERROR(VLOOKUP(D1427, Sheet2!$A:$C, 3, FALSE), 0)</f>
        <v>13400</v>
      </c>
      <c r="G1427" s="6">
        <f t="shared" si="23"/>
        <v>1206000</v>
      </c>
    </row>
    <row r="1428" spans="1:7" ht="17.25" x14ac:dyDescent="0.3">
      <c r="A1428" s="23" t="s">
        <v>312</v>
      </c>
      <c r="B1428" s="22" t="s">
        <v>24</v>
      </c>
      <c r="C1428" s="4" t="s">
        <v>339</v>
      </c>
      <c r="D1428" s="3" t="s">
        <v>10</v>
      </c>
      <c r="E1428" s="7">
        <v>500</v>
      </c>
      <c r="F1428" s="5">
        <f>IFERROR(VLOOKUP(D1428, Sheet2!$A:$C, 3, FALSE), 0)</f>
        <v>20818.181818181816</v>
      </c>
      <c r="G1428" s="6">
        <f t="shared" si="23"/>
        <v>10409090.909090908</v>
      </c>
    </row>
    <row r="1429" spans="1:7" ht="17.25" x14ac:dyDescent="0.3">
      <c r="A1429" s="22" t="s">
        <v>315</v>
      </c>
      <c r="B1429" s="22" t="s">
        <v>21</v>
      </c>
      <c r="C1429" s="4" t="s">
        <v>344</v>
      </c>
      <c r="D1429" s="3" t="s">
        <v>20</v>
      </c>
      <c r="E1429" s="27">
        <v>340</v>
      </c>
      <c r="F1429" s="5">
        <f>IFERROR(VLOOKUP(D1429, Sheet2!$A:$C, 3, FALSE), 0)</f>
        <v>6999.9999999999991</v>
      </c>
      <c r="G1429" s="6">
        <f t="shared" si="23"/>
        <v>2379999.9999999995</v>
      </c>
    </row>
    <row r="1430" spans="1:7" ht="17.25" x14ac:dyDescent="0.3">
      <c r="A1430" s="22" t="s">
        <v>315</v>
      </c>
      <c r="B1430" s="22" t="s">
        <v>69</v>
      </c>
      <c r="C1430" s="4" t="s">
        <v>341</v>
      </c>
      <c r="D1430" s="4" t="s">
        <v>68</v>
      </c>
      <c r="E1430" s="27">
        <f>0.1*10000/3</f>
        <v>333.33333333333331</v>
      </c>
      <c r="F1430" s="5">
        <f>IFERROR(VLOOKUP(D1430, Sheet2!$A:$C, 3, FALSE), 0)</f>
        <v>13400</v>
      </c>
      <c r="G1430" s="6">
        <f t="shared" si="23"/>
        <v>4466666.666666666</v>
      </c>
    </row>
    <row r="1431" spans="1:7" ht="17.25" x14ac:dyDescent="0.3">
      <c r="A1431" s="22" t="s">
        <v>315</v>
      </c>
      <c r="B1431" s="22" t="s">
        <v>11</v>
      </c>
      <c r="C1431" s="4" t="s">
        <v>215</v>
      </c>
      <c r="D1431" s="3" t="s">
        <v>116</v>
      </c>
      <c r="E1431" s="27">
        <f>1*9000</f>
        <v>9000</v>
      </c>
      <c r="F1431" s="5">
        <f>IFERROR(VLOOKUP(D1431, Sheet2!$A:$C, 3, FALSE), 0)</f>
        <v>2045.4545454545453</v>
      </c>
      <c r="G1431" s="6">
        <f t="shared" si="23"/>
        <v>18409090.909090906</v>
      </c>
    </row>
    <row r="1432" spans="1:7" ht="17.25" x14ac:dyDescent="0.3">
      <c r="A1432" s="23" t="s">
        <v>315</v>
      </c>
      <c r="B1432" s="25" t="s">
        <v>33</v>
      </c>
      <c r="C1432" s="4" t="s">
        <v>344</v>
      </c>
      <c r="D1432" s="3" t="s">
        <v>44</v>
      </c>
      <c r="E1432" s="27">
        <f>0.05*4000</f>
        <v>200</v>
      </c>
      <c r="F1432" s="5">
        <f>IFERROR(VLOOKUP(D1432, Sheet2!$A:$C, 3, FALSE), 0)</f>
        <v>5909.090909090909</v>
      </c>
      <c r="G1432" s="6">
        <f t="shared" si="23"/>
        <v>1181818.1818181819</v>
      </c>
    </row>
    <row r="1433" spans="1:7" ht="17.25" x14ac:dyDescent="0.3">
      <c r="A1433" s="23" t="s">
        <v>315</v>
      </c>
      <c r="B1433" s="25" t="s">
        <v>33</v>
      </c>
      <c r="C1433" s="4" t="s">
        <v>341</v>
      </c>
      <c r="D1433" s="4" t="s">
        <v>68</v>
      </c>
      <c r="E1433" s="27">
        <f>0.1*4000/3</f>
        <v>133.33333333333334</v>
      </c>
      <c r="F1433" s="5">
        <f>IFERROR(VLOOKUP(D1433, Sheet2!$A:$C, 3, FALSE), 0)</f>
        <v>13400</v>
      </c>
      <c r="G1433" s="6">
        <f t="shared" si="23"/>
        <v>1786666.6666666667</v>
      </c>
    </row>
    <row r="1434" spans="1:7" ht="17.25" x14ac:dyDescent="0.3">
      <c r="A1434" s="23" t="s">
        <v>316</v>
      </c>
      <c r="B1434" s="22" t="s">
        <v>66</v>
      </c>
      <c r="C1434" s="4" t="s">
        <v>340</v>
      </c>
      <c r="D1434" s="3" t="s">
        <v>49</v>
      </c>
      <c r="E1434" s="27">
        <v>259</v>
      </c>
      <c r="F1434" s="5">
        <f>IFERROR(VLOOKUP(D1434, Sheet2!$A:$C, 3, FALSE), 0)</f>
        <v>38000</v>
      </c>
      <c r="G1434" s="6">
        <f t="shared" si="23"/>
        <v>9842000</v>
      </c>
    </row>
    <row r="1435" spans="1:7" ht="17.25" x14ac:dyDescent="0.3">
      <c r="A1435" s="23" t="s">
        <v>316</v>
      </c>
      <c r="B1435" s="22" t="s">
        <v>69</v>
      </c>
      <c r="C1435" s="4" t="s">
        <v>339</v>
      </c>
      <c r="D1435" s="3" t="s">
        <v>10</v>
      </c>
      <c r="E1435" s="27">
        <v>2230</v>
      </c>
      <c r="F1435" s="5">
        <f>IFERROR(VLOOKUP(D1435, Sheet2!$A:$C, 3, FALSE), 0)</f>
        <v>20818.181818181816</v>
      </c>
      <c r="G1435" s="6">
        <f t="shared" si="23"/>
        <v>46424545.454545453</v>
      </c>
    </row>
    <row r="1436" spans="1:7" ht="17.25" x14ac:dyDescent="0.3">
      <c r="A1436" s="22" t="s">
        <v>316</v>
      </c>
      <c r="B1436" s="22" t="s">
        <v>23</v>
      </c>
      <c r="C1436" s="4" t="s">
        <v>342</v>
      </c>
      <c r="D1436" s="3" t="s">
        <v>61</v>
      </c>
      <c r="E1436" s="27">
        <f>0.01*4000</f>
        <v>40</v>
      </c>
      <c r="F1436" s="5">
        <f>IFERROR(VLOOKUP(D1436, Sheet2!$A:$C, 3, FALSE), 0)</f>
        <v>7363.6363636363631</v>
      </c>
      <c r="G1436" s="6">
        <f t="shared" si="23"/>
        <v>294545.45454545453</v>
      </c>
    </row>
    <row r="1437" spans="1:7" ht="17.25" x14ac:dyDescent="0.3">
      <c r="A1437" s="22" t="s">
        <v>316</v>
      </c>
      <c r="B1437" s="22" t="s">
        <v>23</v>
      </c>
      <c r="C1437" s="4" t="s">
        <v>342</v>
      </c>
      <c r="D1437" s="3" t="s">
        <v>61</v>
      </c>
      <c r="E1437" s="27">
        <f>0.01*4000</f>
        <v>40</v>
      </c>
      <c r="F1437" s="5">
        <f>IFERROR(VLOOKUP(D1437, Sheet2!$A:$C, 3, FALSE), 0)</f>
        <v>7363.6363636363631</v>
      </c>
      <c r="G1437" s="6">
        <f t="shared" si="23"/>
        <v>294545.45454545453</v>
      </c>
    </row>
    <row r="1438" spans="1:7" ht="17.25" x14ac:dyDescent="0.3">
      <c r="A1438" s="23" t="s">
        <v>316</v>
      </c>
      <c r="B1438" s="22" t="s">
        <v>48</v>
      </c>
      <c r="C1438" s="4" t="s">
        <v>337</v>
      </c>
      <c r="D1438" s="3" t="s">
        <v>26</v>
      </c>
      <c r="E1438" s="27">
        <f>3400/2/3</f>
        <v>566.66666666666663</v>
      </c>
      <c r="F1438" s="5">
        <f>IFERROR(VLOOKUP(D1438, Sheet2!$A:$C, 3, FALSE), 0)</f>
        <v>21000</v>
      </c>
      <c r="G1438" s="6">
        <f t="shared" si="23"/>
        <v>11900000</v>
      </c>
    </row>
    <row r="1439" spans="1:7" ht="17.25" x14ac:dyDescent="0.3">
      <c r="A1439" s="22" t="s">
        <v>316</v>
      </c>
      <c r="B1439" s="22" t="s">
        <v>30</v>
      </c>
      <c r="C1439" s="4" t="s">
        <v>344</v>
      </c>
      <c r="D1439" s="3" t="s">
        <v>139</v>
      </c>
      <c r="E1439" s="27">
        <v>520</v>
      </c>
      <c r="F1439" s="5">
        <f>IFERROR(VLOOKUP(D1439, Sheet2!$A:$C, 3, FALSE), 0)</f>
        <v>4363.6363636363631</v>
      </c>
      <c r="G1439" s="6">
        <f t="shared" si="23"/>
        <v>2269090.9090909087</v>
      </c>
    </row>
    <row r="1440" spans="1:7" ht="17.25" x14ac:dyDescent="0.3">
      <c r="A1440" s="22" t="s">
        <v>316</v>
      </c>
      <c r="B1440" s="22" t="s">
        <v>8</v>
      </c>
      <c r="C1440" s="4" t="s">
        <v>339</v>
      </c>
      <c r="D1440" s="11" t="s">
        <v>10</v>
      </c>
      <c r="E1440" s="27">
        <v>150</v>
      </c>
      <c r="F1440" s="5">
        <f>IFERROR(VLOOKUP(D1440, Sheet2!$A:$C, 3, FALSE), 0)</f>
        <v>20818.181818181816</v>
      </c>
      <c r="G1440" s="6">
        <f t="shared" si="23"/>
        <v>3122727.2727272725</v>
      </c>
    </row>
    <row r="1441" spans="1:7" ht="17.25" x14ac:dyDescent="0.3">
      <c r="A1441" s="22" t="s">
        <v>316</v>
      </c>
      <c r="B1441" s="25" t="s">
        <v>33</v>
      </c>
      <c r="C1441" s="4" t="s">
        <v>344</v>
      </c>
      <c r="D1441" s="3" t="s">
        <v>139</v>
      </c>
      <c r="E1441" s="27">
        <f>0.05*4000/0.5</f>
        <v>400</v>
      </c>
      <c r="F1441" s="5">
        <f>IFERROR(VLOOKUP(D1441, Sheet2!$A:$C, 3, FALSE), 0)</f>
        <v>4363.6363636363631</v>
      </c>
      <c r="G1441" s="6">
        <f t="shared" si="23"/>
        <v>1745454.5454545452</v>
      </c>
    </row>
    <row r="1442" spans="1:7" ht="17.25" x14ac:dyDescent="0.3">
      <c r="A1442" s="22" t="s">
        <v>316</v>
      </c>
      <c r="B1442" s="25" t="s">
        <v>33</v>
      </c>
      <c r="C1442" s="4" t="s">
        <v>344</v>
      </c>
      <c r="D1442" s="3" t="s">
        <v>52</v>
      </c>
      <c r="E1442" s="27">
        <f>0.07*4000</f>
        <v>280</v>
      </c>
      <c r="F1442" s="5">
        <f>IFERROR(VLOOKUP(D1442, Sheet2!$A:$C, 3, FALSE), 0)</f>
        <v>5999.9999999999991</v>
      </c>
      <c r="G1442" s="6">
        <f t="shared" si="23"/>
        <v>1679999.9999999998</v>
      </c>
    </row>
    <row r="1443" spans="1:7" ht="17.25" x14ac:dyDescent="0.3">
      <c r="A1443" s="23" t="s">
        <v>316</v>
      </c>
      <c r="B1443" s="25" t="s">
        <v>33</v>
      </c>
      <c r="C1443" s="4" t="s">
        <v>341</v>
      </c>
      <c r="D1443" s="4" t="s">
        <v>110</v>
      </c>
      <c r="E1443" s="27">
        <f>0.015*4000/0.5</f>
        <v>120</v>
      </c>
      <c r="F1443" s="5">
        <f>IFERROR(VLOOKUP(D1443, Sheet2!$A:$C, 3, FALSE), 0)</f>
        <v>2500</v>
      </c>
      <c r="G1443" s="6">
        <f t="shared" si="23"/>
        <v>300000</v>
      </c>
    </row>
    <row r="1444" spans="1:7" ht="17.25" x14ac:dyDescent="0.3">
      <c r="A1444" s="23" t="s">
        <v>316</v>
      </c>
      <c r="B1444" s="25" t="s">
        <v>33</v>
      </c>
      <c r="C1444" s="4" t="s">
        <v>341</v>
      </c>
      <c r="D1444" s="4" t="s">
        <v>68</v>
      </c>
      <c r="E1444" s="27">
        <f>0.02*4000/3</f>
        <v>26.666666666666668</v>
      </c>
      <c r="F1444" s="5">
        <f>IFERROR(VLOOKUP(D1444, Sheet2!$A:$C, 3, FALSE), 0)</f>
        <v>13400</v>
      </c>
      <c r="G1444" s="6">
        <f t="shared" si="23"/>
        <v>357333.33333333337</v>
      </c>
    </row>
    <row r="1445" spans="1:7" ht="17.25" x14ac:dyDescent="0.3">
      <c r="A1445" s="22" t="s">
        <v>316</v>
      </c>
      <c r="B1445" s="22" t="s">
        <v>60</v>
      </c>
      <c r="C1445" s="4" t="s">
        <v>338</v>
      </c>
      <c r="D1445" s="3" t="s">
        <v>54</v>
      </c>
      <c r="E1445" s="27">
        <v>300</v>
      </c>
      <c r="F1445" s="5">
        <f>IFERROR(VLOOKUP(D1445, Sheet2!$A:$C, 3, FALSE), 0)</f>
        <v>7899.9999999999991</v>
      </c>
      <c r="G1445" s="6">
        <f t="shared" si="23"/>
        <v>2369999.9999999995</v>
      </c>
    </row>
    <row r="1446" spans="1:7" ht="17.25" x14ac:dyDescent="0.3">
      <c r="A1446" s="23" t="s">
        <v>316</v>
      </c>
      <c r="B1446" s="22" t="s">
        <v>60</v>
      </c>
      <c r="C1446" s="4" t="s">
        <v>337</v>
      </c>
      <c r="D1446" s="3" t="s">
        <v>127</v>
      </c>
      <c r="E1446" s="27">
        <v>300</v>
      </c>
      <c r="F1446" s="5">
        <f>IFERROR(VLOOKUP(D1446, Sheet2!$A:$C, 3, FALSE), 0)</f>
        <v>45000</v>
      </c>
      <c r="G1446" s="6">
        <f t="shared" si="23"/>
        <v>13500000</v>
      </c>
    </row>
    <row r="1447" spans="1:7" ht="17.25" x14ac:dyDescent="0.3">
      <c r="A1447" s="22" t="s">
        <v>316</v>
      </c>
      <c r="B1447" s="22" t="s">
        <v>60</v>
      </c>
      <c r="C1447" s="4" t="s">
        <v>337</v>
      </c>
      <c r="D1447" s="3" t="s">
        <v>9</v>
      </c>
      <c r="E1447" s="27">
        <v>500</v>
      </c>
      <c r="F1447" s="5">
        <f>IFERROR(VLOOKUP(D1447, Sheet2!$A:$C, 3, FALSE), 0)</f>
        <v>18636.363636363636</v>
      </c>
      <c r="G1447" s="6">
        <f t="shared" si="23"/>
        <v>9318181.8181818184</v>
      </c>
    </row>
    <row r="1448" spans="1:7" ht="17.25" x14ac:dyDescent="0.3">
      <c r="A1448" s="22" t="s">
        <v>317</v>
      </c>
      <c r="B1448" s="22" t="s">
        <v>103</v>
      </c>
      <c r="C1448" s="4" t="s">
        <v>337</v>
      </c>
      <c r="D1448" s="3" t="s">
        <v>78</v>
      </c>
      <c r="E1448" s="27">
        <v>1520</v>
      </c>
      <c r="F1448" s="5">
        <f>IFERROR(VLOOKUP(D1448, Sheet2!$A:$C, 3, FALSE), 0)</f>
        <v>14999.999999999998</v>
      </c>
      <c r="G1448" s="6">
        <f t="shared" si="23"/>
        <v>22799999.999999996</v>
      </c>
    </row>
    <row r="1449" spans="1:7" ht="17.25" x14ac:dyDescent="0.3">
      <c r="A1449" s="23" t="s">
        <v>317</v>
      </c>
      <c r="B1449" s="22" t="s">
        <v>46</v>
      </c>
      <c r="C1449" s="4" t="s">
        <v>342</v>
      </c>
      <c r="D1449" s="3" t="s">
        <v>61</v>
      </c>
      <c r="E1449" s="27">
        <v>389</v>
      </c>
      <c r="F1449" s="5">
        <f>IFERROR(VLOOKUP(D1449, Sheet2!$A:$C, 3, FALSE), 0)</f>
        <v>7363.6363636363631</v>
      </c>
      <c r="G1449" s="6">
        <f t="shared" si="23"/>
        <v>2864454.5454545454</v>
      </c>
    </row>
    <row r="1450" spans="1:7" ht="17.25" x14ac:dyDescent="0.3">
      <c r="A1450" s="22" t="s">
        <v>317</v>
      </c>
      <c r="B1450" s="22" t="s">
        <v>31</v>
      </c>
      <c r="C1450" s="4" t="s">
        <v>344</v>
      </c>
      <c r="D1450" s="3" t="s">
        <v>32</v>
      </c>
      <c r="E1450" s="27">
        <f>0.03*7000/0.6</f>
        <v>350</v>
      </c>
      <c r="F1450" s="5">
        <f>IFERROR(VLOOKUP(D1450, Sheet2!$A:$C, 3, FALSE), 0)</f>
        <v>4363.6363636363631</v>
      </c>
      <c r="G1450" s="6">
        <f t="shared" si="23"/>
        <v>1527272.7272727271</v>
      </c>
    </row>
    <row r="1451" spans="1:7" ht="17.25" x14ac:dyDescent="0.3">
      <c r="A1451" s="22" t="s">
        <v>317</v>
      </c>
      <c r="B1451" s="22" t="s">
        <v>69</v>
      </c>
      <c r="C1451" s="4" t="s">
        <v>341</v>
      </c>
      <c r="D1451" s="4" t="s">
        <v>68</v>
      </c>
      <c r="E1451" s="27">
        <f>(0.04*10000+0.1*10000)/3</f>
        <v>466.66666666666669</v>
      </c>
      <c r="F1451" s="5">
        <f>IFERROR(VLOOKUP(D1451, Sheet2!$A:$C, 3, FALSE), 0)</f>
        <v>13400</v>
      </c>
      <c r="G1451" s="6">
        <f t="shared" si="23"/>
        <v>6253333.333333334</v>
      </c>
    </row>
    <row r="1452" spans="1:7" ht="17.25" x14ac:dyDescent="0.3">
      <c r="A1452" s="22" t="s">
        <v>317</v>
      </c>
      <c r="B1452" s="22" t="s">
        <v>24</v>
      </c>
      <c r="C1452" s="4" t="s">
        <v>338</v>
      </c>
      <c r="D1452" s="3" t="s">
        <v>73</v>
      </c>
      <c r="E1452" s="27">
        <f>318/0.78</f>
        <v>407.69230769230768</v>
      </c>
      <c r="F1452" s="5">
        <f>IFERROR(VLOOKUP(D1452, Sheet2!$A:$C, 3, FALSE), 0)</f>
        <v>7899.9999999999991</v>
      </c>
      <c r="G1452" s="6">
        <f t="shared" si="23"/>
        <v>3220769.2307692305</v>
      </c>
    </row>
    <row r="1453" spans="1:7" ht="17.25" x14ac:dyDescent="0.3">
      <c r="A1453" s="22" t="s">
        <v>317</v>
      </c>
      <c r="B1453" s="22" t="s">
        <v>23</v>
      </c>
      <c r="C1453" s="4" t="s">
        <v>342</v>
      </c>
      <c r="D1453" s="3" t="s">
        <v>61</v>
      </c>
      <c r="E1453" s="27">
        <f>0.01*4000</f>
        <v>40</v>
      </c>
      <c r="F1453" s="5">
        <f>IFERROR(VLOOKUP(D1453, Sheet2!$A:$C, 3, FALSE), 0)</f>
        <v>7363.6363636363631</v>
      </c>
      <c r="G1453" s="6">
        <f t="shared" si="23"/>
        <v>294545.45454545453</v>
      </c>
    </row>
    <row r="1454" spans="1:7" ht="17.25" x14ac:dyDescent="0.3">
      <c r="A1454" s="23" t="s">
        <v>317</v>
      </c>
      <c r="B1454" s="22" t="s">
        <v>48</v>
      </c>
      <c r="C1454" s="4" t="s">
        <v>337</v>
      </c>
      <c r="D1454" s="3" t="s">
        <v>26</v>
      </c>
      <c r="E1454" s="27">
        <f>3400/2/3</f>
        <v>566.66666666666663</v>
      </c>
      <c r="F1454" s="5">
        <f>IFERROR(VLOOKUP(D1454, Sheet2!$A:$C, 3, FALSE), 0)</f>
        <v>21000</v>
      </c>
      <c r="G1454" s="6">
        <f t="shared" si="23"/>
        <v>11900000</v>
      </c>
    </row>
    <row r="1455" spans="1:7" ht="17.25" x14ac:dyDescent="0.3">
      <c r="A1455" s="23" t="s">
        <v>317</v>
      </c>
      <c r="B1455" s="25" t="s">
        <v>41</v>
      </c>
      <c r="C1455" s="4" t="s">
        <v>344</v>
      </c>
      <c r="D1455" s="4" t="s">
        <v>39</v>
      </c>
      <c r="E1455" s="28">
        <f>0.025*7000</f>
        <v>175</v>
      </c>
      <c r="F1455" s="5">
        <f>IFERROR(VLOOKUP(D1455, Sheet2!$A:$C, 3, FALSE), 0)</f>
        <v>3863.6363636363635</v>
      </c>
      <c r="G1455" s="6">
        <f t="shared" si="23"/>
        <v>676136.36363636365</v>
      </c>
    </row>
    <row r="1456" spans="1:7" ht="17.25" x14ac:dyDescent="0.3">
      <c r="A1456" s="23" t="s">
        <v>317</v>
      </c>
      <c r="B1456" s="22" t="s">
        <v>14</v>
      </c>
      <c r="C1456" s="4" t="s">
        <v>343</v>
      </c>
      <c r="D1456" s="3" t="s">
        <v>45</v>
      </c>
      <c r="E1456" s="27">
        <f>0.12*5800</f>
        <v>696</v>
      </c>
      <c r="F1456" s="5">
        <f>IFERROR(VLOOKUP(D1456, Sheet2!$A:$C, 3, FALSE), 0)</f>
        <v>10909.090909090908</v>
      </c>
      <c r="G1456" s="6">
        <f t="shared" si="23"/>
        <v>7592727.2727272725</v>
      </c>
    </row>
    <row r="1457" spans="1:7" ht="17.25" x14ac:dyDescent="0.3">
      <c r="A1457" s="22" t="s">
        <v>317</v>
      </c>
      <c r="B1457" s="22" t="s">
        <v>14</v>
      </c>
      <c r="C1457" s="4" t="s">
        <v>337</v>
      </c>
      <c r="D1457" s="3" t="s">
        <v>70</v>
      </c>
      <c r="E1457" s="27"/>
      <c r="F1457" s="5">
        <f>IFERROR(VLOOKUP(D1457, Sheet2!$A:$C, 3, FALSE), 0)</f>
        <v>18636.363636363636</v>
      </c>
      <c r="G1457" s="6">
        <f t="shared" si="23"/>
        <v>0</v>
      </c>
    </row>
    <row r="1458" spans="1:7" ht="17.25" x14ac:dyDescent="0.3">
      <c r="A1458" s="22" t="s">
        <v>318</v>
      </c>
      <c r="B1458" s="22" t="s">
        <v>5</v>
      </c>
      <c r="C1458" s="4" t="s">
        <v>339</v>
      </c>
      <c r="D1458" s="3" t="s">
        <v>97</v>
      </c>
      <c r="E1458" s="27">
        <v>450</v>
      </c>
      <c r="F1458" s="5">
        <f>IFERROR(VLOOKUP(D1458, Sheet2!$A:$C, 3, FALSE), 0)</f>
        <v>17181.81818181818</v>
      </c>
      <c r="G1458" s="6">
        <f t="shared" si="23"/>
        <v>7731818.1818181807</v>
      </c>
    </row>
    <row r="1459" spans="1:7" ht="17.25" x14ac:dyDescent="0.3">
      <c r="A1459" s="22" t="s">
        <v>318</v>
      </c>
      <c r="B1459" s="22" t="s">
        <v>31</v>
      </c>
      <c r="C1459" s="4" t="s">
        <v>343</v>
      </c>
      <c r="D1459" s="3" t="s">
        <v>45</v>
      </c>
      <c r="E1459" s="27">
        <f>0.13*7000</f>
        <v>910</v>
      </c>
      <c r="F1459" s="5">
        <f>IFERROR(VLOOKUP(D1459, Sheet2!$A:$C, 3, FALSE), 0)</f>
        <v>10909.090909090908</v>
      </c>
      <c r="G1459" s="6">
        <f t="shared" si="23"/>
        <v>9927272.7272727266</v>
      </c>
    </row>
    <row r="1460" spans="1:7" ht="17.25" x14ac:dyDescent="0.3">
      <c r="A1460" s="23" t="s">
        <v>318</v>
      </c>
      <c r="B1460" s="22" t="s">
        <v>69</v>
      </c>
      <c r="C1460" s="4" t="s">
        <v>341</v>
      </c>
      <c r="D1460" s="4" t="s">
        <v>68</v>
      </c>
      <c r="E1460" s="27">
        <f>(0.03*10000+0.03*10000)/3</f>
        <v>200</v>
      </c>
      <c r="F1460" s="5">
        <f>IFERROR(VLOOKUP(D1460, Sheet2!$A:$C, 3, FALSE), 0)</f>
        <v>13400</v>
      </c>
      <c r="G1460" s="6">
        <f t="shared" si="23"/>
        <v>2680000</v>
      </c>
    </row>
    <row r="1461" spans="1:7" ht="17.25" x14ac:dyDescent="0.3">
      <c r="A1461" s="22" t="s">
        <v>318</v>
      </c>
      <c r="B1461" s="22" t="s">
        <v>25</v>
      </c>
      <c r="C1461" s="4" t="s">
        <v>337</v>
      </c>
      <c r="D1461" s="3" t="s">
        <v>9</v>
      </c>
      <c r="E1461" s="27">
        <f>0.15*9300</f>
        <v>1395</v>
      </c>
      <c r="F1461" s="5">
        <f>IFERROR(VLOOKUP(D1461, Sheet2!$A:$C, 3, FALSE), 0)</f>
        <v>18636.363636363636</v>
      </c>
      <c r="G1461" s="6">
        <f t="shared" si="23"/>
        <v>25997727.272727273</v>
      </c>
    </row>
    <row r="1462" spans="1:7" ht="17.25" x14ac:dyDescent="0.3">
      <c r="A1462" s="23" t="s">
        <v>318</v>
      </c>
      <c r="B1462" s="22" t="s">
        <v>150</v>
      </c>
      <c r="C1462" s="4" t="s">
        <v>344</v>
      </c>
      <c r="D1462" s="3" t="s">
        <v>59</v>
      </c>
      <c r="E1462" s="27">
        <v>270</v>
      </c>
      <c r="F1462" s="5">
        <f>IFERROR(VLOOKUP(D1462, Sheet2!$A:$C, 3, FALSE), 0)</f>
        <v>4681.8181818181811</v>
      </c>
      <c r="G1462" s="6">
        <f t="shared" si="23"/>
        <v>1264090.9090909089</v>
      </c>
    </row>
    <row r="1463" spans="1:7" ht="17.25" x14ac:dyDescent="0.3">
      <c r="A1463" s="23" t="s">
        <v>318</v>
      </c>
      <c r="B1463" s="22" t="s">
        <v>11</v>
      </c>
      <c r="C1463" s="4" t="s">
        <v>344</v>
      </c>
      <c r="D1463" s="3" t="s">
        <v>120</v>
      </c>
      <c r="E1463" s="27">
        <f>0.055*9000</f>
        <v>495</v>
      </c>
      <c r="F1463" s="5">
        <f>IFERROR(VLOOKUP(D1463, Sheet2!$A:$C, 3, FALSE), 0)</f>
        <v>6272.7272727272721</v>
      </c>
      <c r="G1463" s="6">
        <f t="shared" si="23"/>
        <v>3104999.9999999995</v>
      </c>
    </row>
    <row r="1464" spans="1:7" ht="17.25" x14ac:dyDescent="0.3">
      <c r="A1464" s="23" t="s">
        <v>318</v>
      </c>
      <c r="B1464" s="25" t="s">
        <v>41</v>
      </c>
      <c r="C1464" s="4" t="s">
        <v>344</v>
      </c>
      <c r="D1464" s="4" t="s">
        <v>39</v>
      </c>
      <c r="E1464" s="28">
        <f>0.015*7000</f>
        <v>105</v>
      </c>
      <c r="F1464" s="5">
        <f>IFERROR(VLOOKUP(D1464, Sheet2!$A:$C, 3, FALSE), 0)</f>
        <v>3863.6363636363635</v>
      </c>
      <c r="G1464" s="6">
        <f t="shared" si="23"/>
        <v>405681.81818181818</v>
      </c>
    </row>
    <row r="1465" spans="1:7" ht="17.25" x14ac:dyDescent="0.3">
      <c r="A1465" s="23" t="s">
        <v>318</v>
      </c>
      <c r="B1465" s="22" t="s">
        <v>41</v>
      </c>
      <c r="C1465" s="4" t="s">
        <v>215</v>
      </c>
      <c r="D1465" s="11" t="s">
        <v>179</v>
      </c>
      <c r="E1465" s="27">
        <f>1*7000</f>
        <v>7000</v>
      </c>
      <c r="F1465" s="5">
        <f>IFERROR(VLOOKUP(D1465, Sheet2!$A:$C, 3, FALSE), 0)</f>
        <v>2136.363636363636</v>
      </c>
      <c r="G1465" s="6">
        <f t="shared" si="23"/>
        <v>14954545.454545451</v>
      </c>
    </row>
    <row r="1466" spans="1:7" ht="17.25" x14ac:dyDescent="0.3">
      <c r="A1466" s="23" t="s">
        <v>318</v>
      </c>
      <c r="B1466" s="22" t="s">
        <v>8</v>
      </c>
      <c r="C1466" s="4" t="s">
        <v>337</v>
      </c>
      <c r="D1466" s="3" t="s">
        <v>70</v>
      </c>
      <c r="E1466" s="27">
        <f>0.13*4500</f>
        <v>585</v>
      </c>
      <c r="F1466" s="5">
        <f>IFERROR(VLOOKUP(D1466, Sheet2!$A:$C, 3, FALSE), 0)</f>
        <v>18636.363636363636</v>
      </c>
      <c r="G1466" s="6">
        <f t="shared" si="23"/>
        <v>10902272.727272727</v>
      </c>
    </row>
    <row r="1467" spans="1:7" ht="17.25" x14ac:dyDescent="0.3">
      <c r="A1467" s="22" t="s">
        <v>318</v>
      </c>
      <c r="B1467" s="22" t="s">
        <v>51</v>
      </c>
      <c r="C1467" s="4" t="s">
        <v>343</v>
      </c>
      <c r="D1467" s="3" t="s">
        <v>45</v>
      </c>
      <c r="E1467" s="27">
        <v>750</v>
      </c>
      <c r="F1467" s="5">
        <f>IFERROR(VLOOKUP(D1467, Sheet2!$A:$C, 3, FALSE), 0)</f>
        <v>10909.090909090908</v>
      </c>
      <c r="G1467" s="6">
        <f t="shared" si="23"/>
        <v>8181818.1818181807</v>
      </c>
    </row>
    <row r="1468" spans="1:7" ht="17.25" x14ac:dyDescent="0.3">
      <c r="A1468" s="22" t="s">
        <v>319</v>
      </c>
      <c r="B1468" s="22" t="s">
        <v>24</v>
      </c>
      <c r="C1468" s="4" t="s">
        <v>344</v>
      </c>
      <c r="D1468" s="3" t="s">
        <v>22</v>
      </c>
      <c r="E1468" s="27">
        <v>95</v>
      </c>
      <c r="F1468" s="5">
        <f>IFERROR(VLOOKUP(D1468, Sheet2!$A:$C, 3, FALSE), 0)</f>
        <v>5999.9999999999991</v>
      </c>
      <c r="G1468" s="6">
        <f t="shared" si="23"/>
        <v>569999.99999999988</v>
      </c>
    </row>
    <row r="1469" spans="1:7" ht="17.25" x14ac:dyDescent="0.3">
      <c r="A1469" s="22" t="s">
        <v>319</v>
      </c>
      <c r="B1469" s="22" t="s">
        <v>24</v>
      </c>
      <c r="C1469" s="4" t="s">
        <v>342</v>
      </c>
      <c r="D1469" s="3" t="s">
        <v>61</v>
      </c>
      <c r="E1469" s="27">
        <v>70</v>
      </c>
      <c r="F1469" s="5">
        <f>IFERROR(VLOOKUP(D1469, Sheet2!$A:$C, 3, FALSE), 0)</f>
        <v>7363.6363636363631</v>
      </c>
      <c r="G1469" s="6">
        <f t="shared" si="23"/>
        <v>515454.54545454541</v>
      </c>
    </row>
    <row r="1470" spans="1:7" ht="17.25" x14ac:dyDescent="0.3">
      <c r="A1470" s="22" t="s">
        <v>319</v>
      </c>
      <c r="B1470" s="22" t="s">
        <v>24</v>
      </c>
      <c r="C1470" s="4" t="s">
        <v>342</v>
      </c>
      <c r="D1470" s="3" t="s">
        <v>61</v>
      </c>
      <c r="E1470" s="28">
        <v>93</v>
      </c>
      <c r="F1470" s="5">
        <f>IFERROR(VLOOKUP(D1470, Sheet2!$A:$C, 3, FALSE), 0)</f>
        <v>7363.6363636363631</v>
      </c>
      <c r="G1470" s="6">
        <f t="shared" si="23"/>
        <v>684818.18181818177</v>
      </c>
    </row>
    <row r="1471" spans="1:7" ht="17.25" x14ac:dyDescent="0.3">
      <c r="A1471" s="22" t="s">
        <v>319</v>
      </c>
      <c r="B1471" s="22" t="s">
        <v>23</v>
      </c>
      <c r="C1471" s="4" t="s">
        <v>338</v>
      </c>
      <c r="D1471" s="3" t="s">
        <v>36</v>
      </c>
      <c r="E1471" s="27">
        <f>0.07*4000/0.9</f>
        <v>311.11111111111109</v>
      </c>
      <c r="F1471" s="5">
        <f>IFERROR(VLOOKUP(D1471, Sheet2!$A:$C, 3, FALSE), 0)</f>
        <v>7899.9999999999991</v>
      </c>
      <c r="G1471" s="6">
        <f t="shared" si="23"/>
        <v>2457777.7777777775</v>
      </c>
    </row>
    <row r="1472" spans="1:7" ht="17.25" x14ac:dyDescent="0.3">
      <c r="A1472" s="22" t="s">
        <v>319</v>
      </c>
      <c r="B1472" s="22" t="s">
        <v>23</v>
      </c>
      <c r="C1472" s="4" t="s">
        <v>338</v>
      </c>
      <c r="D1472" s="3" t="s">
        <v>36</v>
      </c>
      <c r="E1472" s="27">
        <f>0.07*4000/0.9</f>
        <v>311.11111111111109</v>
      </c>
      <c r="F1472" s="5">
        <f>IFERROR(VLOOKUP(D1472, Sheet2!$A:$C, 3, FALSE), 0)</f>
        <v>7899.9999999999991</v>
      </c>
      <c r="G1472" s="6">
        <f t="shared" si="23"/>
        <v>2457777.7777777775</v>
      </c>
    </row>
    <row r="1473" spans="1:7" ht="17.25" x14ac:dyDescent="0.3">
      <c r="A1473" s="23" t="s">
        <v>319</v>
      </c>
      <c r="B1473" s="22" t="s">
        <v>30</v>
      </c>
      <c r="C1473" s="4" t="s">
        <v>337</v>
      </c>
      <c r="D1473" s="11" t="s">
        <v>12</v>
      </c>
      <c r="E1473" s="27">
        <v>442</v>
      </c>
      <c r="F1473" s="5">
        <f>IFERROR(VLOOKUP(D1473, Sheet2!$A:$C, 3, FALSE), 0)</f>
        <v>26363.63636363636</v>
      </c>
      <c r="G1473" s="6">
        <f t="shared" si="23"/>
        <v>11652727.272727272</v>
      </c>
    </row>
    <row r="1474" spans="1:7" ht="17.25" x14ac:dyDescent="0.3">
      <c r="A1474" s="22" t="s">
        <v>319</v>
      </c>
      <c r="B1474" s="22" t="s">
        <v>30</v>
      </c>
      <c r="C1474" s="4" t="s">
        <v>338</v>
      </c>
      <c r="D1474" s="11" t="s">
        <v>54</v>
      </c>
      <c r="E1474" s="27">
        <v>658</v>
      </c>
      <c r="F1474" s="5">
        <f>IFERROR(VLOOKUP(D1474, Sheet2!$A:$C, 3, FALSE), 0)</f>
        <v>7899.9999999999991</v>
      </c>
      <c r="G1474" s="6">
        <f t="shared" si="23"/>
        <v>5198199.9999999991</v>
      </c>
    </row>
    <row r="1475" spans="1:7" ht="17.25" x14ac:dyDescent="0.3">
      <c r="A1475" s="23" t="s">
        <v>319</v>
      </c>
      <c r="B1475" s="22" t="s">
        <v>30</v>
      </c>
      <c r="C1475" s="4" t="s">
        <v>342</v>
      </c>
      <c r="D1475" s="3" t="s">
        <v>61</v>
      </c>
      <c r="E1475" s="27">
        <v>52</v>
      </c>
      <c r="F1475" s="5">
        <f>IFERROR(VLOOKUP(D1475, Sheet2!$A:$C, 3, FALSE), 0)</f>
        <v>7363.6363636363631</v>
      </c>
      <c r="G1475" s="6">
        <f t="shared" si="23"/>
        <v>382909.09090909088</v>
      </c>
    </row>
    <row r="1476" spans="1:7" ht="17.25" x14ac:dyDescent="0.3">
      <c r="A1476" s="23" t="s">
        <v>319</v>
      </c>
      <c r="B1476" s="22" t="s">
        <v>43</v>
      </c>
      <c r="C1476" s="4" t="s">
        <v>337</v>
      </c>
      <c r="D1476" s="3" t="s">
        <v>180</v>
      </c>
      <c r="E1476" s="27">
        <f>0.18*5000/2</f>
        <v>450</v>
      </c>
      <c r="F1476" s="5">
        <f>IFERROR(VLOOKUP(D1476, Sheet2!$A:$C, 3, FALSE), 0)</f>
        <v>16909.090909090908</v>
      </c>
      <c r="G1476" s="6">
        <f t="shared" si="23"/>
        <v>7609090.9090909082</v>
      </c>
    </row>
    <row r="1477" spans="1:7" ht="17.25" x14ac:dyDescent="0.3">
      <c r="A1477" s="23" t="s">
        <v>320</v>
      </c>
      <c r="B1477" s="22" t="s">
        <v>66</v>
      </c>
      <c r="C1477" s="4" t="s">
        <v>338</v>
      </c>
      <c r="D1477" s="3" t="s">
        <v>73</v>
      </c>
      <c r="E1477" s="27">
        <f>530/0.78</f>
        <v>679.48717948717945</v>
      </c>
      <c r="F1477" s="5">
        <f>IFERROR(VLOOKUP(D1477, Sheet2!$A:$C, 3, FALSE), 0)</f>
        <v>7899.9999999999991</v>
      </c>
      <c r="G1477" s="6">
        <f t="shared" si="23"/>
        <v>5367948.7179487171</v>
      </c>
    </row>
    <row r="1478" spans="1:7" ht="17.25" x14ac:dyDescent="0.3">
      <c r="A1478" s="23" t="s">
        <v>320</v>
      </c>
      <c r="B1478" s="22" t="s">
        <v>21</v>
      </c>
      <c r="C1478" s="4" t="s">
        <v>339</v>
      </c>
      <c r="D1478" s="3" t="s">
        <v>108</v>
      </c>
      <c r="E1478" s="27">
        <v>1500</v>
      </c>
      <c r="F1478" s="5">
        <f>IFERROR(VLOOKUP(D1478, Sheet2!$A:$C, 3, FALSE), 0)</f>
        <v>12272.727272727272</v>
      </c>
      <c r="G1478" s="6">
        <f t="shared" si="23"/>
        <v>18409090.909090906</v>
      </c>
    </row>
    <row r="1479" spans="1:7" ht="17.25" x14ac:dyDescent="0.3">
      <c r="A1479" s="22" t="s">
        <v>320</v>
      </c>
      <c r="B1479" s="22" t="s">
        <v>69</v>
      </c>
      <c r="C1479" s="4" t="s">
        <v>341</v>
      </c>
      <c r="D1479" s="4" t="s">
        <v>68</v>
      </c>
      <c r="E1479" s="27">
        <f>(0.03*10000+0.03*10000)/3</f>
        <v>200</v>
      </c>
      <c r="F1479" s="5">
        <f>IFERROR(VLOOKUP(D1479, Sheet2!$A:$C, 3, FALSE), 0)</f>
        <v>13400</v>
      </c>
      <c r="G1479" s="6">
        <f t="shared" si="23"/>
        <v>2680000</v>
      </c>
    </row>
    <row r="1480" spans="1:7" ht="17.25" x14ac:dyDescent="0.3">
      <c r="A1480" s="22" t="s">
        <v>320</v>
      </c>
      <c r="B1480" s="22" t="s">
        <v>23</v>
      </c>
      <c r="C1480" s="4" t="s">
        <v>338</v>
      </c>
      <c r="D1480" s="3" t="s">
        <v>36</v>
      </c>
      <c r="E1480" s="27">
        <f>0.07*4000/0.9</f>
        <v>311.11111111111109</v>
      </c>
      <c r="F1480" s="5">
        <f>IFERROR(VLOOKUP(D1480, Sheet2!$A:$C, 3, FALSE), 0)</f>
        <v>7899.9999999999991</v>
      </c>
      <c r="G1480" s="6">
        <f t="shared" si="23"/>
        <v>2457777.7777777775</v>
      </c>
    </row>
    <row r="1481" spans="1:7" ht="17.25" x14ac:dyDescent="0.3">
      <c r="A1481" s="22" t="s">
        <v>320</v>
      </c>
      <c r="B1481" s="22" t="s">
        <v>11</v>
      </c>
      <c r="C1481" s="4" t="s">
        <v>344</v>
      </c>
      <c r="D1481" s="3" t="s">
        <v>53</v>
      </c>
      <c r="E1481" s="27">
        <f>0.05*9000/0.8</f>
        <v>562.5</v>
      </c>
      <c r="F1481" s="5">
        <f>IFERROR(VLOOKUP(D1481, Sheet2!$A:$C, 3, FALSE), 0)</f>
        <v>5818.181818181818</v>
      </c>
      <c r="G1481" s="6">
        <f t="shared" si="23"/>
        <v>3272727.2727272725</v>
      </c>
    </row>
    <row r="1482" spans="1:7" ht="17.25" x14ac:dyDescent="0.3">
      <c r="A1482" s="22" t="s">
        <v>320</v>
      </c>
      <c r="B1482" s="25" t="s">
        <v>41</v>
      </c>
      <c r="C1482" s="4" t="s">
        <v>344</v>
      </c>
      <c r="D1482" s="3" t="s">
        <v>32</v>
      </c>
      <c r="E1482" s="27">
        <f>0.06*7000/0.6</f>
        <v>700</v>
      </c>
      <c r="F1482" s="5">
        <f>IFERROR(VLOOKUP(D1482, Sheet2!$A:$C, 3, FALSE), 0)</f>
        <v>4363.6363636363631</v>
      </c>
      <c r="G1482" s="6">
        <f t="shared" si="23"/>
        <v>3054545.4545454541</v>
      </c>
    </row>
    <row r="1483" spans="1:7" ht="17.25" x14ac:dyDescent="0.3">
      <c r="A1483" s="22" t="s">
        <v>320</v>
      </c>
      <c r="B1483" s="25" t="s">
        <v>41</v>
      </c>
      <c r="C1483" s="4" t="s">
        <v>342</v>
      </c>
      <c r="D1483" s="3" t="s">
        <v>35</v>
      </c>
      <c r="E1483" s="27"/>
      <c r="F1483" s="5">
        <f>IFERROR(VLOOKUP(D1483, Sheet2!$A:$C, 3, FALSE), 0)</f>
        <v>8363.6363636363621</v>
      </c>
      <c r="G1483" s="6">
        <f t="shared" si="23"/>
        <v>0</v>
      </c>
    </row>
    <row r="1484" spans="1:7" ht="17.25" x14ac:dyDescent="0.3">
      <c r="A1484" s="23" t="s">
        <v>320</v>
      </c>
      <c r="B1484" s="25" t="s">
        <v>33</v>
      </c>
      <c r="C1484" s="4" t="s">
        <v>337</v>
      </c>
      <c r="D1484" s="3" t="s">
        <v>12</v>
      </c>
      <c r="E1484" s="27">
        <f>0.17*4000/2</f>
        <v>340</v>
      </c>
      <c r="F1484" s="5">
        <f>IFERROR(VLOOKUP(D1484, Sheet2!$A:$C, 3, FALSE), 0)</f>
        <v>26363.63636363636</v>
      </c>
      <c r="G1484" s="6">
        <f t="shared" si="23"/>
        <v>8963636.3636363633</v>
      </c>
    </row>
    <row r="1485" spans="1:7" ht="17.25" x14ac:dyDescent="0.3">
      <c r="A1485" s="22" t="s">
        <v>320</v>
      </c>
      <c r="B1485" s="25" t="s">
        <v>33</v>
      </c>
      <c r="C1485" s="4" t="s">
        <v>338</v>
      </c>
      <c r="D1485" s="3" t="s">
        <v>54</v>
      </c>
      <c r="E1485" s="27">
        <f>0.09*4000/0.78</f>
        <v>461.53846153846155</v>
      </c>
      <c r="F1485" s="5">
        <f>IFERROR(VLOOKUP(D1485, Sheet2!$A:$C, 3, FALSE), 0)</f>
        <v>7899.9999999999991</v>
      </c>
      <c r="G1485" s="6">
        <f t="shared" si="23"/>
        <v>3646153.846153846</v>
      </c>
    </row>
    <row r="1486" spans="1:7" ht="17.25" x14ac:dyDescent="0.3">
      <c r="A1486" s="23" t="s">
        <v>320</v>
      </c>
      <c r="B1486" s="25" t="s">
        <v>33</v>
      </c>
      <c r="C1486" s="4" t="s">
        <v>344</v>
      </c>
      <c r="D1486" s="3" t="s">
        <v>44</v>
      </c>
      <c r="E1486" s="27">
        <f>0.05*4000</f>
        <v>200</v>
      </c>
      <c r="F1486" s="5">
        <f>IFERROR(VLOOKUP(D1486, Sheet2!$A:$C, 3, FALSE), 0)</f>
        <v>5909.090909090909</v>
      </c>
      <c r="G1486" s="6">
        <f t="shared" si="23"/>
        <v>1181818.1818181819</v>
      </c>
    </row>
    <row r="1487" spans="1:7" ht="17.25" x14ac:dyDescent="0.3">
      <c r="A1487" s="22" t="s">
        <v>320</v>
      </c>
      <c r="B1487" s="25" t="s">
        <v>33</v>
      </c>
      <c r="C1487" s="4" t="s">
        <v>342</v>
      </c>
      <c r="D1487" s="3" t="s">
        <v>61</v>
      </c>
      <c r="E1487" s="27">
        <f>0.01*4000</f>
        <v>40</v>
      </c>
      <c r="F1487" s="5">
        <f>IFERROR(VLOOKUP(D1487, Sheet2!$A:$C, 3, FALSE), 0)</f>
        <v>7363.6363636363631</v>
      </c>
      <c r="G1487" s="6">
        <f t="shared" si="23"/>
        <v>294545.45454545453</v>
      </c>
    </row>
    <row r="1488" spans="1:7" ht="17.25" x14ac:dyDescent="0.3">
      <c r="A1488" s="22" t="s">
        <v>320</v>
      </c>
      <c r="B1488" s="25" t="s">
        <v>33</v>
      </c>
      <c r="C1488" s="4" t="s">
        <v>341</v>
      </c>
      <c r="D1488" s="4" t="s">
        <v>68</v>
      </c>
      <c r="E1488" s="27">
        <f>0.02*4000/3</f>
        <v>26.666666666666668</v>
      </c>
      <c r="F1488" s="5">
        <f>IFERROR(VLOOKUP(D1488, Sheet2!$A:$C, 3, FALSE), 0)</f>
        <v>13400</v>
      </c>
      <c r="G1488" s="6">
        <f t="shared" ref="G1488:G1551" si="24">E1488*F1488</f>
        <v>357333.33333333337</v>
      </c>
    </row>
    <row r="1489" spans="1:7" ht="17.25" x14ac:dyDescent="0.3">
      <c r="A1489" s="22" t="s">
        <v>320</v>
      </c>
      <c r="B1489" s="22" t="s">
        <v>51</v>
      </c>
      <c r="C1489" s="4" t="s">
        <v>337</v>
      </c>
      <c r="D1489" s="3" t="s">
        <v>144</v>
      </c>
      <c r="E1489" s="27">
        <v>1100</v>
      </c>
      <c r="F1489" s="5">
        <f>IFERROR(VLOOKUP(D1489, Sheet2!$A:$C, 3, FALSE), 0)</f>
        <v>10272.727272727272</v>
      </c>
      <c r="G1489" s="6">
        <f t="shared" si="24"/>
        <v>11300000</v>
      </c>
    </row>
    <row r="1490" spans="1:7" ht="17.25" x14ac:dyDescent="0.3">
      <c r="A1490" s="22" t="s">
        <v>321</v>
      </c>
      <c r="B1490" s="22" t="s">
        <v>24</v>
      </c>
      <c r="C1490" s="4" t="s">
        <v>344</v>
      </c>
      <c r="D1490" s="4" t="s">
        <v>22</v>
      </c>
      <c r="E1490" s="28">
        <v>223</v>
      </c>
      <c r="F1490" s="5">
        <f>IFERROR(VLOOKUP(D1490, Sheet2!$A:$C, 3, FALSE), 0)</f>
        <v>5999.9999999999991</v>
      </c>
      <c r="G1490" s="6">
        <f t="shared" si="24"/>
        <v>1337999.9999999998</v>
      </c>
    </row>
    <row r="1491" spans="1:7" ht="17.25" x14ac:dyDescent="0.3">
      <c r="A1491" s="23" t="s">
        <v>319</v>
      </c>
      <c r="B1491" s="22" t="s">
        <v>60</v>
      </c>
      <c r="C1491" s="4" t="s">
        <v>337</v>
      </c>
      <c r="D1491" s="4" t="s">
        <v>55</v>
      </c>
      <c r="E1491" s="28">
        <v>600</v>
      </c>
      <c r="F1491" s="5">
        <f>IFERROR(VLOOKUP(D1491, Sheet2!$A:$C, 3, FALSE), 0)</f>
        <v>14899.999999999998</v>
      </c>
      <c r="G1491" s="6">
        <f t="shared" si="24"/>
        <v>8939999.9999999981</v>
      </c>
    </row>
    <row r="1492" spans="1:7" ht="17.25" x14ac:dyDescent="0.3">
      <c r="A1492" s="22" t="s">
        <v>321</v>
      </c>
      <c r="B1492" s="22" t="s">
        <v>24</v>
      </c>
      <c r="C1492" s="4" t="s">
        <v>341</v>
      </c>
      <c r="D1492" s="4" t="s">
        <v>68</v>
      </c>
      <c r="E1492" s="27">
        <f>233/3</f>
        <v>77.666666666666671</v>
      </c>
      <c r="F1492" s="5">
        <f>IFERROR(VLOOKUP(D1492, Sheet2!$A:$C, 3, FALSE), 0)</f>
        <v>13400</v>
      </c>
      <c r="G1492" s="6">
        <f t="shared" si="24"/>
        <v>1040733.3333333334</v>
      </c>
    </row>
    <row r="1493" spans="1:7" ht="17.25" x14ac:dyDescent="0.3">
      <c r="A1493" s="22" t="s">
        <v>321</v>
      </c>
      <c r="B1493" s="22" t="s">
        <v>23</v>
      </c>
      <c r="C1493" s="4" t="s">
        <v>338</v>
      </c>
      <c r="D1493" s="3" t="s">
        <v>36</v>
      </c>
      <c r="E1493" s="27">
        <f>0.07*4000/0.9</f>
        <v>311.11111111111109</v>
      </c>
      <c r="F1493" s="5">
        <f>IFERROR(VLOOKUP(D1493, Sheet2!$A:$C, 3, FALSE), 0)</f>
        <v>7899.9999999999991</v>
      </c>
      <c r="G1493" s="6">
        <f t="shared" si="24"/>
        <v>2457777.7777777775</v>
      </c>
    </row>
    <row r="1494" spans="1:7" ht="17.25" x14ac:dyDescent="0.3">
      <c r="A1494" s="22" t="s">
        <v>321</v>
      </c>
      <c r="B1494" s="22" t="s">
        <v>23</v>
      </c>
      <c r="C1494" s="4" t="s">
        <v>338</v>
      </c>
      <c r="D1494" s="3" t="s">
        <v>36</v>
      </c>
      <c r="E1494" s="27">
        <f>0.07*4000/0.9</f>
        <v>311.11111111111109</v>
      </c>
      <c r="F1494" s="5">
        <f>IFERROR(VLOOKUP(D1494, Sheet2!$A:$C, 3, FALSE), 0)</f>
        <v>7899.9999999999991</v>
      </c>
      <c r="G1494" s="6">
        <f t="shared" si="24"/>
        <v>2457777.7777777775</v>
      </c>
    </row>
    <row r="1495" spans="1:7" ht="17.25" x14ac:dyDescent="0.3">
      <c r="A1495" s="22" t="s">
        <v>321</v>
      </c>
      <c r="B1495" s="22" t="s">
        <v>75</v>
      </c>
      <c r="C1495" s="4" t="s">
        <v>342</v>
      </c>
      <c r="D1495" s="3" t="s">
        <v>61</v>
      </c>
      <c r="E1495" s="27">
        <f>0.015*7000</f>
        <v>105</v>
      </c>
      <c r="F1495" s="5">
        <f>IFERROR(VLOOKUP(D1495, Sheet2!$A:$C, 3, FALSE), 0)</f>
        <v>7363.6363636363631</v>
      </c>
      <c r="G1495" s="6">
        <f t="shared" si="24"/>
        <v>773181.81818181812</v>
      </c>
    </row>
    <row r="1496" spans="1:7" ht="17.25" x14ac:dyDescent="0.3">
      <c r="A1496" s="23" t="s">
        <v>321</v>
      </c>
      <c r="B1496" s="22" t="s">
        <v>30</v>
      </c>
      <c r="C1496" s="4" t="s">
        <v>337</v>
      </c>
      <c r="D1496" s="3" t="s">
        <v>64</v>
      </c>
      <c r="E1496" s="27">
        <v>1404</v>
      </c>
      <c r="F1496" s="5">
        <f>IFERROR(VLOOKUP(D1496, Sheet2!$A:$C, 3, FALSE), 0)</f>
        <v>14545.454545454544</v>
      </c>
      <c r="G1496" s="6">
        <f t="shared" si="24"/>
        <v>20421818.18181818</v>
      </c>
    </row>
    <row r="1497" spans="1:7" ht="17.25" x14ac:dyDescent="0.3">
      <c r="A1497" s="23" t="s">
        <v>321</v>
      </c>
      <c r="B1497" s="22" t="s">
        <v>60</v>
      </c>
      <c r="C1497" s="4" t="s">
        <v>344</v>
      </c>
      <c r="D1497" s="3" t="s">
        <v>32</v>
      </c>
      <c r="E1497" s="27">
        <v>400</v>
      </c>
      <c r="F1497" s="5">
        <f>IFERROR(VLOOKUP(D1497, Sheet2!$A:$C, 3, FALSE), 0)</f>
        <v>4363.6363636363631</v>
      </c>
      <c r="G1497" s="6">
        <f t="shared" si="24"/>
        <v>1745454.5454545452</v>
      </c>
    </row>
    <row r="1498" spans="1:7" ht="17.25" x14ac:dyDescent="0.3">
      <c r="A1498" s="23" t="s">
        <v>321</v>
      </c>
      <c r="B1498" s="22" t="s">
        <v>60</v>
      </c>
      <c r="C1498" s="4" t="s">
        <v>342</v>
      </c>
      <c r="D1498" s="3" t="s">
        <v>35</v>
      </c>
      <c r="E1498" s="27">
        <v>130</v>
      </c>
      <c r="F1498" s="5">
        <f>IFERROR(VLOOKUP(D1498, Sheet2!$A:$C, 3, FALSE), 0)</f>
        <v>8363.6363636363621</v>
      </c>
      <c r="G1498" s="6">
        <f t="shared" si="24"/>
        <v>1087272.7272727271</v>
      </c>
    </row>
    <row r="1499" spans="1:7" ht="17.25" x14ac:dyDescent="0.3">
      <c r="A1499" s="23" t="s">
        <v>322</v>
      </c>
      <c r="B1499" s="22" t="s">
        <v>5</v>
      </c>
      <c r="C1499" s="4" t="s">
        <v>337</v>
      </c>
      <c r="D1499" s="3" t="s">
        <v>83</v>
      </c>
      <c r="E1499" s="27">
        <v>552</v>
      </c>
      <c r="F1499" s="5">
        <f>IFERROR(VLOOKUP(D1499, Sheet2!$A:$C, 3, FALSE), 0)</f>
        <v>7636.363636363636</v>
      </c>
      <c r="G1499" s="6">
        <f t="shared" si="24"/>
        <v>4215272.7272727275</v>
      </c>
    </row>
    <row r="1500" spans="1:7" ht="17.25" x14ac:dyDescent="0.3">
      <c r="A1500" s="23" t="s">
        <v>322</v>
      </c>
      <c r="B1500" s="22" t="s">
        <v>69</v>
      </c>
      <c r="C1500" s="4" t="s">
        <v>337</v>
      </c>
      <c r="D1500" s="3" t="s">
        <v>6</v>
      </c>
      <c r="E1500" s="27">
        <f>0.12*10000</f>
        <v>1200</v>
      </c>
      <c r="F1500" s="5">
        <f>IFERROR(VLOOKUP(D1500, Sheet2!$A:$C, 3, FALSE), 0)</f>
        <v>14999.999999999998</v>
      </c>
      <c r="G1500" s="6">
        <f t="shared" si="24"/>
        <v>17999999.999999996</v>
      </c>
    </row>
    <row r="1501" spans="1:7" ht="17.25" x14ac:dyDescent="0.3">
      <c r="A1501" s="22" t="s">
        <v>322</v>
      </c>
      <c r="B1501" s="22" t="s">
        <v>69</v>
      </c>
      <c r="C1501" s="4" t="s">
        <v>341</v>
      </c>
      <c r="D1501" s="4" t="s">
        <v>68</v>
      </c>
      <c r="E1501" s="27">
        <f>(0.07*10000+0.085*10000)/3</f>
        <v>516.66666666666674</v>
      </c>
      <c r="F1501" s="5">
        <f>IFERROR(VLOOKUP(D1501, Sheet2!$A:$C, 3, FALSE), 0)</f>
        <v>13400</v>
      </c>
      <c r="G1501" s="6">
        <f t="shared" si="24"/>
        <v>6923333.333333334</v>
      </c>
    </row>
    <row r="1502" spans="1:7" ht="17.25" x14ac:dyDescent="0.3">
      <c r="A1502" s="23" t="s">
        <v>322</v>
      </c>
      <c r="B1502" s="22" t="s">
        <v>25</v>
      </c>
      <c r="C1502" s="4" t="s">
        <v>344</v>
      </c>
      <c r="D1502" s="3" t="s">
        <v>53</v>
      </c>
      <c r="E1502" s="27">
        <f>0.08*9300/0.8</f>
        <v>930</v>
      </c>
      <c r="F1502" s="5">
        <f>IFERROR(VLOOKUP(D1502, Sheet2!$A:$C, 3, FALSE), 0)</f>
        <v>5818.181818181818</v>
      </c>
      <c r="G1502" s="6">
        <f t="shared" si="24"/>
        <v>5410909.0909090908</v>
      </c>
    </row>
    <row r="1503" spans="1:7" ht="17.25" x14ac:dyDescent="0.3">
      <c r="A1503" s="22" t="s">
        <v>322</v>
      </c>
      <c r="B1503" s="22" t="s">
        <v>25</v>
      </c>
      <c r="C1503" s="4" t="s">
        <v>344</v>
      </c>
      <c r="D1503" s="3" t="s">
        <v>22</v>
      </c>
      <c r="E1503" s="27">
        <f>0.05*9300</f>
        <v>465</v>
      </c>
      <c r="F1503" s="5">
        <f>IFERROR(VLOOKUP(D1503, Sheet2!$A:$C, 3, FALSE), 0)</f>
        <v>5999.9999999999991</v>
      </c>
      <c r="G1503" s="6">
        <f t="shared" si="24"/>
        <v>2789999.9999999995</v>
      </c>
    </row>
    <row r="1504" spans="1:7" ht="17.25" x14ac:dyDescent="0.3">
      <c r="A1504" s="23" t="s">
        <v>322</v>
      </c>
      <c r="B1504" s="22" t="s">
        <v>25</v>
      </c>
      <c r="C1504" s="4" t="s">
        <v>344</v>
      </c>
      <c r="D1504" s="3" t="s">
        <v>15</v>
      </c>
      <c r="E1504" s="27">
        <f>0.05*9300</f>
        <v>465</v>
      </c>
      <c r="F1504" s="5">
        <f>IFERROR(VLOOKUP(D1504, Sheet2!$A:$C, 3, FALSE), 0)</f>
        <v>3863.6363636363635</v>
      </c>
      <c r="G1504" s="6">
        <f t="shared" si="24"/>
        <v>1796590.9090909089</v>
      </c>
    </row>
    <row r="1505" spans="1:7" ht="17.25" x14ac:dyDescent="0.3">
      <c r="A1505" s="22" t="s">
        <v>322</v>
      </c>
      <c r="B1505" s="22" t="s">
        <v>23</v>
      </c>
      <c r="C1505" s="4" t="s">
        <v>338</v>
      </c>
      <c r="D1505" s="3" t="s">
        <v>36</v>
      </c>
      <c r="E1505" s="27">
        <f>0.07*4000/0.9</f>
        <v>311.11111111111109</v>
      </c>
      <c r="F1505" s="5">
        <f>IFERROR(VLOOKUP(D1505, Sheet2!$A:$C, 3, FALSE), 0)</f>
        <v>7899.9999999999991</v>
      </c>
      <c r="G1505" s="6">
        <f t="shared" si="24"/>
        <v>2457777.7777777775</v>
      </c>
    </row>
    <row r="1506" spans="1:7" ht="17.25" x14ac:dyDescent="0.3">
      <c r="A1506" s="22" t="s">
        <v>322</v>
      </c>
      <c r="B1506" s="22" t="s">
        <v>75</v>
      </c>
      <c r="C1506" s="4" t="s">
        <v>342</v>
      </c>
      <c r="D1506" s="3" t="s">
        <v>61</v>
      </c>
      <c r="E1506" s="27">
        <f>0.015*7000</f>
        <v>105</v>
      </c>
      <c r="F1506" s="5">
        <f>IFERROR(VLOOKUP(D1506, Sheet2!$A:$C, 3, FALSE), 0)</f>
        <v>7363.6363636363631</v>
      </c>
      <c r="G1506" s="6">
        <f t="shared" si="24"/>
        <v>773181.81818181812</v>
      </c>
    </row>
    <row r="1507" spans="1:7" ht="17.25" x14ac:dyDescent="0.3">
      <c r="A1507" s="22" t="s">
        <v>322</v>
      </c>
      <c r="B1507" s="22" t="s">
        <v>16</v>
      </c>
      <c r="C1507" s="4" t="s">
        <v>216</v>
      </c>
      <c r="D1507" s="3" t="s">
        <v>37</v>
      </c>
      <c r="E1507" s="27">
        <f>0.085*12000/0.85</f>
        <v>1200.0000000000002</v>
      </c>
      <c r="F1507" s="5">
        <f>IFERROR(VLOOKUP(D1507, Sheet2!$A:$C, 3, FALSE), 0)</f>
        <v>6799.9999999999991</v>
      </c>
      <c r="G1507" s="6">
        <f t="shared" si="24"/>
        <v>8160000</v>
      </c>
    </row>
    <row r="1508" spans="1:7" ht="17.25" x14ac:dyDescent="0.3">
      <c r="A1508" s="23" t="s">
        <v>322</v>
      </c>
      <c r="B1508" s="22" t="s">
        <v>11</v>
      </c>
      <c r="C1508" s="4" t="s">
        <v>344</v>
      </c>
      <c r="D1508" s="3" t="s">
        <v>139</v>
      </c>
      <c r="E1508" s="27">
        <f>0.05*9000/0.5</f>
        <v>900</v>
      </c>
      <c r="F1508" s="5">
        <f>IFERROR(VLOOKUP(D1508, Sheet2!$A:$C, 3, FALSE), 0)</f>
        <v>4363.6363636363631</v>
      </c>
      <c r="G1508" s="6">
        <f t="shared" si="24"/>
        <v>3927272.7272727266</v>
      </c>
    </row>
    <row r="1509" spans="1:7" ht="17.25" x14ac:dyDescent="0.3">
      <c r="A1509" s="22" t="s">
        <v>322</v>
      </c>
      <c r="B1509" s="25" t="s">
        <v>41</v>
      </c>
      <c r="C1509" s="4" t="s">
        <v>344</v>
      </c>
      <c r="D1509" s="4" t="s">
        <v>39</v>
      </c>
      <c r="E1509" s="28">
        <f>0.06*7000</f>
        <v>420</v>
      </c>
      <c r="F1509" s="5">
        <f>IFERROR(VLOOKUP(D1509, Sheet2!$A:$C, 3, FALSE), 0)</f>
        <v>3863.6363636363635</v>
      </c>
      <c r="G1509" s="6">
        <f t="shared" si="24"/>
        <v>1622727.2727272727</v>
      </c>
    </row>
    <row r="1510" spans="1:7" ht="17.25" x14ac:dyDescent="0.3">
      <c r="A1510" s="23" t="s">
        <v>322</v>
      </c>
      <c r="B1510" s="25" t="s">
        <v>33</v>
      </c>
      <c r="C1510" s="4" t="s">
        <v>337</v>
      </c>
      <c r="D1510" s="3" t="s">
        <v>64</v>
      </c>
      <c r="E1510" s="27">
        <f>0.27*4000</f>
        <v>1080</v>
      </c>
      <c r="F1510" s="5">
        <f>IFERROR(VLOOKUP(D1510, Sheet2!$A:$C, 3, FALSE), 0)</f>
        <v>14545.454545454544</v>
      </c>
      <c r="G1510" s="6">
        <f t="shared" si="24"/>
        <v>15709090.909090908</v>
      </c>
    </row>
    <row r="1511" spans="1:7" ht="17.25" x14ac:dyDescent="0.3">
      <c r="A1511" s="23" t="s">
        <v>322</v>
      </c>
      <c r="B1511" s="25" t="s">
        <v>33</v>
      </c>
      <c r="C1511" s="4" t="s">
        <v>341</v>
      </c>
      <c r="D1511" s="4" t="s">
        <v>110</v>
      </c>
      <c r="E1511" s="27">
        <f>0.02*4000/0.5</f>
        <v>160</v>
      </c>
      <c r="F1511" s="5">
        <f>IFERROR(VLOOKUP(D1511, Sheet2!$A:$C, 3, FALSE), 0)</f>
        <v>2500</v>
      </c>
      <c r="G1511" s="6">
        <f t="shared" si="24"/>
        <v>400000</v>
      </c>
    </row>
    <row r="1512" spans="1:7" ht="17.25" x14ac:dyDescent="0.3">
      <c r="A1512" s="22" t="s">
        <v>322</v>
      </c>
      <c r="B1512" s="25" t="s">
        <v>33</v>
      </c>
      <c r="C1512" s="4" t="s">
        <v>341</v>
      </c>
      <c r="D1512" s="4" t="s">
        <v>68</v>
      </c>
      <c r="E1512" s="27">
        <f>0.02*4000/3</f>
        <v>26.666666666666668</v>
      </c>
      <c r="F1512" s="5">
        <f>IFERROR(VLOOKUP(D1512, Sheet2!$A:$C, 3, FALSE), 0)</f>
        <v>13400</v>
      </c>
      <c r="G1512" s="6">
        <f t="shared" si="24"/>
        <v>357333.33333333337</v>
      </c>
    </row>
    <row r="1513" spans="1:7" ht="17.25" x14ac:dyDescent="0.3">
      <c r="A1513" s="23" t="s">
        <v>323</v>
      </c>
      <c r="B1513" s="25" t="s">
        <v>66</v>
      </c>
      <c r="C1513" s="4" t="s">
        <v>344</v>
      </c>
      <c r="D1513" s="3" t="s">
        <v>59</v>
      </c>
      <c r="E1513" s="27">
        <v>159</v>
      </c>
      <c r="F1513" s="5">
        <f>IFERROR(VLOOKUP(D1513, Sheet2!$A:$C, 3, FALSE), 0)</f>
        <v>4681.8181818181811</v>
      </c>
      <c r="G1513" s="6">
        <f t="shared" si="24"/>
        <v>744409.09090909082</v>
      </c>
    </row>
    <row r="1514" spans="1:7" ht="17.25" x14ac:dyDescent="0.3">
      <c r="A1514" s="22" t="s">
        <v>324</v>
      </c>
      <c r="B1514" s="22" t="s">
        <v>69</v>
      </c>
      <c r="C1514" s="4" t="s">
        <v>341</v>
      </c>
      <c r="D1514" s="4" t="s">
        <v>68</v>
      </c>
      <c r="E1514" s="27">
        <f>0.03*10000/3</f>
        <v>100</v>
      </c>
      <c r="F1514" s="5">
        <f>IFERROR(VLOOKUP(D1514, Sheet2!$A:$C, 3, FALSE), 0)</f>
        <v>13400</v>
      </c>
      <c r="G1514" s="6">
        <f t="shared" si="24"/>
        <v>1340000</v>
      </c>
    </row>
    <row r="1515" spans="1:7" ht="17.25" x14ac:dyDescent="0.3">
      <c r="A1515" s="22" t="s">
        <v>324</v>
      </c>
      <c r="B1515" s="22" t="s">
        <v>30</v>
      </c>
      <c r="C1515" s="4" t="s">
        <v>339</v>
      </c>
      <c r="D1515" s="3" t="s">
        <v>80</v>
      </c>
      <c r="E1515" s="27">
        <v>347</v>
      </c>
      <c r="F1515" s="5">
        <f>IFERROR(VLOOKUP(D1515, Sheet2!$A:$C, 3, FALSE), 0)</f>
        <v>18272.727272727272</v>
      </c>
      <c r="G1515" s="6">
        <f t="shared" si="24"/>
        <v>6340636.3636363633</v>
      </c>
    </row>
    <row r="1516" spans="1:7" ht="17.25" x14ac:dyDescent="0.3">
      <c r="A1516" s="22" t="s">
        <v>324</v>
      </c>
      <c r="B1516" s="22" t="s">
        <v>30</v>
      </c>
      <c r="C1516" s="4" t="s">
        <v>344</v>
      </c>
      <c r="D1516" s="3" t="s">
        <v>22</v>
      </c>
      <c r="E1516" s="27">
        <v>104</v>
      </c>
      <c r="F1516" s="5">
        <f>IFERROR(VLOOKUP(D1516, Sheet2!$A:$C, 3, FALSE), 0)</f>
        <v>5999.9999999999991</v>
      </c>
      <c r="G1516" s="6">
        <f t="shared" si="24"/>
        <v>623999.99999999988</v>
      </c>
    </row>
    <row r="1517" spans="1:7" ht="17.25" x14ac:dyDescent="0.3">
      <c r="A1517" s="23" t="s">
        <v>324</v>
      </c>
      <c r="B1517" s="22" t="s">
        <v>30</v>
      </c>
      <c r="C1517" s="4" t="s">
        <v>342</v>
      </c>
      <c r="D1517" s="3" t="s">
        <v>61</v>
      </c>
      <c r="E1517" s="27">
        <v>104</v>
      </c>
      <c r="F1517" s="5">
        <f>IFERROR(VLOOKUP(D1517, Sheet2!$A:$C, 3, FALSE), 0)</f>
        <v>7363.6363636363631</v>
      </c>
      <c r="G1517" s="6">
        <f t="shared" si="24"/>
        <v>765818.18181818177</v>
      </c>
    </row>
    <row r="1518" spans="1:7" ht="17.25" x14ac:dyDescent="0.3">
      <c r="A1518" s="22" t="s">
        <v>324</v>
      </c>
      <c r="B1518" s="22" t="s">
        <v>33</v>
      </c>
      <c r="C1518" s="4" t="s">
        <v>337</v>
      </c>
      <c r="D1518" s="3" t="s">
        <v>70</v>
      </c>
      <c r="E1518" s="27">
        <f>0.16*4000</f>
        <v>640</v>
      </c>
      <c r="F1518" s="5">
        <f>IFERROR(VLOOKUP(D1518, Sheet2!$A:$C, 3, FALSE), 0)</f>
        <v>18636.363636363636</v>
      </c>
      <c r="G1518" s="6">
        <f t="shared" si="24"/>
        <v>11927272.727272727</v>
      </c>
    </row>
    <row r="1519" spans="1:7" ht="17.25" x14ac:dyDescent="0.3">
      <c r="A1519" s="23" t="s">
        <v>324</v>
      </c>
      <c r="B1519" s="25" t="s">
        <v>33</v>
      </c>
      <c r="C1519" s="4" t="s">
        <v>344</v>
      </c>
      <c r="D1519" s="3" t="s">
        <v>20</v>
      </c>
      <c r="E1519" s="27">
        <f>0.02*4000</f>
        <v>80</v>
      </c>
      <c r="F1519" s="5">
        <f>IFERROR(VLOOKUP(D1519, Sheet2!$A:$C, 3, FALSE), 0)</f>
        <v>6999.9999999999991</v>
      </c>
      <c r="G1519" s="6">
        <f t="shared" si="24"/>
        <v>559999.99999999988</v>
      </c>
    </row>
    <row r="1520" spans="1:7" ht="17.25" x14ac:dyDescent="0.3">
      <c r="A1520" s="22" t="s">
        <v>324</v>
      </c>
      <c r="B1520" s="25" t="s">
        <v>33</v>
      </c>
      <c r="C1520" s="4" t="s">
        <v>344</v>
      </c>
      <c r="D1520" s="3" t="s">
        <v>22</v>
      </c>
      <c r="E1520" s="27">
        <f>0.02*4000</f>
        <v>80</v>
      </c>
      <c r="F1520" s="5">
        <f>IFERROR(VLOOKUP(D1520, Sheet2!$A:$C, 3, FALSE), 0)</f>
        <v>5999.9999999999991</v>
      </c>
      <c r="G1520" s="6">
        <f t="shared" si="24"/>
        <v>479999.99999999994</v>
      </c>
    </row>
    <row r="1521" spans="1:7" ht="17.25" x14ac:dyDescent="0.3">
      <c r="A1521" s="23" t="s">
        <v>324</v>
      </c>
      <c r="B1521" s="25" t="s">
        <v>33</v>
      </c>
      <c r="C1521" s="4" t="s">
        <v>341</v>
      </c>
      <c r="D1521" s="4" t="s">
        <v>110</v>
      </c>
      <c r="E1521" s="27">
        <f>0.015*4000/0.5</f>
        <v>120</v>
      </c>
      <c r="F1521" s="5">
        <f>IFERROR(VLOOKUP(D1521, Sheet2!$A:$C, 3, FALSE), 0)</f>
        <v>2500</v>
      </c>
      <c r="G1521" s="6">
        <f t="shared" si="24"/>
        <v>300000</v>
      </c>
    </row>
    <row r="1522" spans="1:7" ht="17.25" x14ac:dyDescent="0.3">
      <c r="A1522" s="23" t="s">
        <v>324</v>
      </c>
      <c r="B1522" s="25" t="s">
        <v>33</v>
      </c>
      <c r="C1522" s="4" t="s">
        <v>341</v>
      </c>
      <c r="D1522" s="4" t="s">
        <v>68</v>
      </c>
      <c r="E1522" s="27">
        <f>0.1*4000/3</f>
        <v>133.33333333333334</v>
      </c>
      <c r="F1522" s="5">
        <f>IFERROR(VLOOKUP(D1522, Sheet2!$A:$C, 3, FALSE), 0)</f>
        <v>13400</v>
      </c>
      <c r="G1522" s="6">
        <f t="shared" si="24"/>
        <v>1786666.6666666667</v>
      </c>
    </row>
    <row r="1523" spans="1:7" ht="17.25" x14ac:dyDescent="0.3">
      <c r="A1523" s="23" t="s">
        <v>324</v>
      </c>
      <c r="B1523" s="22" t="s">
        <v>18</v>
      </c>
      <c r="C1523" s="4" t="s">
        <v>337</v>
      </c>
      <c r="D1523" s="11" t="s">
        <v>83</v>
      </c>
      <c r="E1523" s="29">
        <v>506</v>
      </c>
      <c r="F1523" s="5">
        <f>IFERROR(VLOOKUP(D1523, Sheet2!$A:$C, 3, FALSE), 0)</f>
        <v>7636.363636363636</v>
      </c>
      <c r="G1523" s="6">
        <f t="shared" si="24"/>
        <v>3864000</v>
      </c>
    </row>
    <row r="1524" spans="1:7" ht="17.25" x14ac:dyDescent="0.3">
      <c r="A1524" s="23" t="s">
        <v>325</v>
      </c>
      <c r="B1524" s="22" t="s">
        <v>24</v>
      </c>
      <c r="C1524" s="4" t="s">
        <v>342</v>
      </c>
      <c r="D1524" s="3" t="s">
        <v>61</v>
      </c>
      <c r="E1524" s="29">
        <v>77</v>
      </c>
      <c r="F1524" s="5">
        <f>IFERROR(VLOOKUP(D1524, Sheet2!$A:$C, 3, FALSE), 0)</f>
        <v>7363.6363636363631</v>
      </c>
      <c r="G1524" s="6">
        <f t="shared" si="24"/>
        <v>567000</v>
      </c>
    </row>
    <row r="1525" spans="1:7" ht="17.25" x14ac:dyDescent="0.3">
      <c r="A1525" s="23" t="s">
        <v>325</v>
      </c>
      <c r="B1525" s="22" t="s">
        <v>24</v>
      </c>
      <c r="C1525" s="4" t="s">
        <v>341</v>
      </c>
      <c r="D1525" s="4" t="s">
        <v>68</v>
      </c>
      <c r="E1525" s="27">
        <f>516/3</f>
        <v>172</v>
      </c>
      <c r="F1525" s="5">
        <f>IFERROR(VLOOKUP(D1525, Sheet2!$A:$C, 3, FALSE), 0)</f>
        <v>13400</v>
      </c>
      <c r="G1525" s="6">
        <f t="shared" si="24"/>
        <v>2304800</v>
      </c>
    </row>
    <row r="1526" spans="1:7" ht="17.25" x14ac:dyDescent="0.3">
      <c r="A1526" s="23" t="s">
        <v>325</v>
      </c>
      <c r="B1526" s="22" t="s">
        <v>23</v>
      </c>
      <c r="C1526" s="4" t="s">
        <v>215</v>
      </c>
      <c r="D1526" s="3" t="s">
        <v>264</v>
      </c>
      <c r="E1526" s="27">
        <f>0.08*4000</f>
        <v>320</v>
      </c>
      <c r="F1526" s="5">
        <f>IFERROR(VLOOKUP(D1526, Sheet2!$A:$C, 3, FALSE), 0)</f>
        <v>4454.545454545454</v>
      </c>
      <c r="G1526" s="6">
        <f t="shared" si="24"/>
        <v>1425454.5454545454</v>
      </c>
    </row>
    <row r="1527" spans="1:7" ht="17.25" x14ac:dyDescent="0.3">
      <c r="A1527" s="22" t="s">
        <v>325</v>
      </c>
      <c r="B1527" s="22" t="s">
        <v>23</v>
      </c>
      <c r="C1527" s="4" t="s">
        <v>342</v>
      </c>
      <c r="D1527" s="3" t="s">
        <v>61</v>
      </c>
      <c r="E1527" s="27">
        <f>0.02*4000</f>
        <v>80</v>
      </c>
      <c r="F1527" s="5">
        <f>IFERROR(VLOOKUP(D1527, Sheet2!$A:$C, 3, FALSE), 0)</f>
        <v>7363.6363636363631</v>
      </c>
      <c r="G1527" s="6">
        <f t="shared" si="24"/>
        <v>589090.90909090906</v>
      </c>
    </row>
    <row r="1528" spans="1:7" ht="17.25" x14ac:dyDescent="0.3">
      <c r="A1528" s="23" t="s">
        <v>325</v>
      </c>
      <c r="B1528" s="22" t="s">
        <v>23</v>
      </c>
      <c r="C1528" s="4" t="s">
        <v>215</v>
      </c>
      <c r="D1528" s="3" t="s">
        <v>264</v>
      </c>
      <c r="E1528" s="27">
        <f>0.08*4000</f>
        <v>320</v>
      </c>
      <c r="F1528" s="5">
        <f>IFERROR(VLOOKUP(D1528, Sheet2!$A:$C, 3, FALSE), 0)</f>
        <v>4454.545454545454</v>
      </c>
      <c r="G1528" s="6">
        <f t="shared" si="24"/>
        <v>1425454.5454545454</v>
      </c>
    </row>
    <row r="1529" spans="1:7" ht="17.25" x14ac:dyDescent="0.3">
      <c r="A1529" s="22" t="s">
        <v>325</v>
      </c>
      <c r="B1529" s="22" t="s">
        <v>23</v>
      </c>
      <c r="C1529" s="4" t="s">
        <v>342</v>
      </c>
      <c r="D1529" s="3" t="s">
        <v>61</v>
      </c>
      <c r="E1529" s="27">
        <f>0.02*4000</f>
        <v>80</v>
      </c>
      <c r="F1529" s="5">
        <f>IFERROR(VLOOKUP(D1529, Sheet2!$A:$C, 3, FALSE), 0)</f>
        <v>7363.6363636363631</v>
      </c>
      <c r="G1529" s="6">
        <f t="shared" si="24"/>
        <v>589090.90909090906</v>
      </c>
    </row>
    <row r="1530" spans="1:7" ht="17.25" x14ac:dyDescent="0.3">
      <c r="A1530" s="22" t="s">
        <v>325</v>
      </c>
      <c r="B1530" s="22" t="s">
        <v>30</v>
      </c>
      <c r="C1530" s="4" t="s">
        <v>337</v>
      </c>
      <c r="D1530" s="3" t="s">
        <v>70</v>
      </c>
      <c r="E1530" s="27">
        <v>572</v>
      </c>
      <c r="F1530" s="5">
        <f>IFERROR(VLOOKUP(D1530, Sheet2!$A:$C, 3, FALSE), 0)</f>
        <v>18636.363636363636</v>
      </c>
      <c r="G1530" s="6">
        <f t="shared" si="24"/>
        <v>10660000</v>
      </c>
    </row>
    <row r="1531" spans="1:7" ht="17.25" x14ac:dyDescent="0.3">
      <c r="A1531" s="22" t="s">
        <v>325</v>
      </c>
      <c r="B1531" s="22" t="s">
        <v>60</v>
      </c>
      <c r="C1531" s="4" t="s">
        <v>342</v>
      </c>
      <c r="D1531" s="3" t="s">
        <v>61</v>
      </c>
      <c r="E1531" s="27">
        <v>100</v>
      </c>
      <c r="F1531" s="5">
        <f>IFERROR(VLOOKUP(D1531, Sheet2!$A:$C, 3, FALSE), 0)</f>
        <v>7363.6363636363631</v>
      </c>
      <c r="G1531" s="6">
        <f t="shared" si="24"/>
        <v>736363.63636363635</v>
      </c>
    </row>
    <row r="1532" spans="1:7" ht="17.25" x14ac:dyDescent="0.3">
      <c r="A1532" s="22" t="s">
        <v>325</v>
      </c>
      <c r="B1532" s="22" t="s">
        <v>60</v>
      </c>
      <c r="C1532" s="4" t="s">
        <v>343</v>
      </c>
      <c r="D1532" s="3" t="s">
        <v>168</v>
      </c>
      <c r="E1532" s="27">
        <v>150</v>
      </c>
      <c r="F1532" s="5">
        <f>IFERROR(VLOOKUP(D1532, Sheet2!$A:$C, 3, FALSE), 0)</f>
        <v>27999.999999999996</v>
      </c>
      <c r="G1532" s="6">
        <f t="shared" si="24"/>
        <v>4199999.9999999991</v>
      </c>
    </row>
    <row r="1533" spans="1:7" ht="17.25" x14ac:dyDescent="0.3">
      <c r="A1533" s="22" t="s">
        <v>326</v>
      </c>
      <c r="B1533" s="22" t="s">
        <v>69</v>
      </c>
      <c r="C1533" s="4" t="s">
        <v>341</v>
      </c>
      <c r="D1533" s="4" t="s">
        <v>68</v>
      </c>
      <c r="E1533" s="27">
        <f>(0.04*10000+0.1*10000)/3</f>
        <v>466.66666666666669</v>
      </c>
      <c r="F1533" s="5">
        <f>IFERROR(VLOOKUP(D1533, Sheet2!$A:$C, 3, FALSE), 0)</f>
        <v>13400</v>
      </c>
      <c r="G1533" s="6">
        <f t="shared" si="24"/>
        <v>6253333.333333334</v>
      </c>
    </row>
    <row r="1534" spans="1:7" ht="17.25" x14ac:dyDescent="0.3">
      <c r="A1534" s="23" t="s">
        <v>326</v>
      </c>
      <c r="B1534" s="22" t="s">
        <v>150</v>
      </c>
      <c r="C1534" s="4" t="s">
        <v>344</v>
      </c>
      <c r="D1534" s="3" t="s">
        <v>39</v>
      </c>
      <c r="E1534" s="27">
        <v>90</v>
      </c>
      <c r="F1534" s="5">
        <f>IFERROR(VLOOKUP(D1534, Sheet2!$A:$C, 3, FALSE), 0)</f>
        <v>3863.6363636363635</v>
      </c>
      <c r="G1534" s="6">
        <f t="shared" si="24"/>
        <v>347727.27272727271</v>
      </c>
    </row>
    <row r="1535" spans="1:7" ht="17.25" x14ac:dyDescent="0.3">
      <c r="A1535" s="23" t="s">
        <v>326</v>
      </c>
      <c r="B1535" s="22" t="s">
        <v>23</v>
      </c>
      <c r="C1535" s="4" t="s">
        <v>215</v>
      </c>
      <c r="D1535" s="3" t="s">
        <v>264</v>
      </c>
      <c r="E1535" s="27">
        <f>0.08*4000</f>
        <v>320</v>
      </c>
      <c r="F1535" s="5">
        <f>IFERROR(VLOOKUP(D1535, Sheet2!$A:$C, 3, FALSE), 0)</f>
        <v>4454.545454545454</v>
      </c>
      <c r="G1535" s="6">
        <f t="shared" si="24"/>
        <v>1425454.5454545454</v>
      </c>
    </row>
    <row r="1536" spans="1:7" ht="17.25" x14ac:dyDescent="0.3">
      <c r="A1536" s="22" t="s">
        <v>326</v>
      </c>
      <c r="B1536" s="22" t="s">
        <v>23</v>
      </c>
      <c r="C1536" s="4" t="s">
        <v>342</v>
      </c>
      <c r="D1536" s="3" t="s">
        <v>61</v>
      </c>
      <c r="E1536" s="27">
        <f>0.02*4000</f>
        <v>80</v>
      </c>
      <c r="F1536" s="5">
        <f>IFERROR(VLOOKUP(D1536, Sheet2!$A:$C, 3, FALSE), 0)</f>
        <v>7363.6363636363631</v>
      </c>
      <c r="G1536" s="6">
        <f t="shared" si="24"/>
        <v>589090.90909090906</v>
      </c>
    </row>
    <row r="1537" spans="1:7" ht="17.25" x14ac:dyDescent="0.3">
      <c r="A1537" s="23" t="s">
        <v>326</v>
      </c>
      <c r="B1537" s="22" t="s">
        <v>14</v>
      </c>
      <c r="C1537" s="4" t="s">
        <v>344</v>
      </c>
      <c r="D1537" s="3" t="s">
        <v>15</v>
      </c>
      <c r="E1537" s="27">
        <f>0.06*5800</f>
        <v>348</v>
      </c>
      <c r="F1537" s="5">
        <f>IFERROR(VLOOKUP(D1537, Sheet2!$A:$C, 3, FALSE), 0)</f>
        <v>3863.6363636363635</v>
      </c>
      <c r="G1537" s="6">
        <f t="shared" si="24"/>
        <v>1344545.4545454546</v>
      </c>
    </row>
    <row r="1538" spans="1:7" ht="17.25" x14ac:dyDescent="0.3">
      <c r="A1538" s="23" t="s">
        <v>326</v>
      </c>
      <c r="B1538" s="25" t="s">
        <v>33</v>
      </c>
      <c r="C1538" s="4" t="s">
        <v>342</v>
      </c>
      <c r="D1538" s="3" t="s">
        <v>61</v>
      </c>
      <c r="E1538" s="27">
        <f>0.02*4000</f>
        <v>80</v>
      </c>
      <c r="F1538" s="5">
        <f>IFERROR(VLOOKUP(D1538, Sheet2!$A:$C, 3, FALSE), 0)</f>
        <v>7363.6363636363631</v>
      </c>
      <c r="G1538" s="6">
        <f t="shared" si="24"/>
        <v>589090.90909090906</v>
      </c>
    </row>
    <row r="1539" spans="1:7" ht="17.25" x14ac:dyDescent="0.3">
      <c r="A1539" s="22" t="s">
        <v>326</v>
      </c>
      <c r="B1539" s="25" t="s">
        <v>33</v>
      </c>
      <c r="C1539" s="4" t="s">
        <v>341</v>
      </c>
      <c r="D1539" s="4" t="s">
        <v>110</v>
      </c>
      <c r="E1539" s="27">
        <f>0.015*4000/0.5</f>
        <v>120</v>
      </c>
      <c r="F1539" s="5">
        <f>IFERROR(VLOOKUP(D1539, Sheet2!$A:$C, 3, FALSE), 0)</f>
        <v>2500</v>
      </c>
      <c r="G1539" s="6">
        <f t="shared" si="24"/>
        <v>300000</v>
      </c>
    </row>
    <row r="1540" spans="1:7" ht="17.25" x14ac:dyDescent="0.3">
      <c r="A1540" s="22" t="s">
        <v>327</v>
      </c>
      <c r="B1540" s="22" t="s">
        <v>21</v>
      </c>
      <c r="C1540" s="4" t="s">
        <v>344</v>
      </c>
      <c r="D1540" s="11" t="s">
        <v>44</v>
      </c>
      <c r="E1540" s="27">
        <v>255</v>
      </c>
      <c r="F1540" s="5">
        <f>IFERROR(VLOOKUP(D1540, Sheet2!$A:$C, 3, FALSE), 0)</f>
        <v>5909.090909090909</v>
      </c>
      <c r="G1540" s="6">
        <f t="shared" si="24"/>
        <v>1506818.1818181819</v>
      </c>
    </row>
    <row r="1541" spans="1:7" ht="17.25" x14ac:dyDescent="0.3">
      <c r="A1541" s="23" t="s">
        <v>327</v>
      </c>
      <c r="B1541" s="22" t="s">
        <v>150</v>
      </c>
      <c r="C1541" s="4" t="s">
        <v>344</v>
      </c>
      <c r="D1541" s="3" t="s">
        <v>39</v>
      </c>
      <c r="E1541" s="27">
        <v>225</v>
      </c>
      <c r="F1541" s="5">
        <f>IFERROR(VLOOKUP(D1541, Sheet2!$A:$C, 3, FALSE), 0)</f>
        <v>3863.6363636363635</v>
      </c>
      <c r="G1541" s="6">
        <f t="shared" si="24"/>
        <v>869318.18181818177</v>
      </c>
    </row>
    <row r="1542" spans="1:7" ht="17.25" x14ac:dyDescent="0.3">
      <c r="A1542" s="23" t="s">
        <v>327</v>
      </c>
      <c r="B1542" s="22" t="s">
        <v>24</v>
      </c>
      <c r="C1542" s="4" t="s">
        <v>344</v>
      </c>
      <c r="D1542" s="3" t="s">
        <v>22</v>
      </c>
      <c r="E1542" s="27">
        <v>75</v>
      </c>
      <c r="F1542" s="5">
        <f>IFERROR(VLOOKUP(D1542, Sheet2!$A:$C, 3, FALSE), 0)</f>
        <v>5999.9999999999991</v>
      </c>
      <c r="G1542" s="6">
        <f t="shared" si="24"/>
        <v>449999.99999999994</v>
      </c>
    </row>
    <row r="1543" spans="1:7" ht="17.25" x14ac:dyDescent="0.3">
      <c r="A1543" s="23" t="s">
        <v>327</v>
      </c>
      <c r="B1543" s="22" t="s">
        <v>24</v>
      </c>
      <c r="C1543" s="4" t="s">
        <v>342</v>
      </c>
      <c r="D1543" s="3" t="s">
        <v>61</v>
      </c>
      <c r="E1543" s="27">
        <v>75</v>
      </c>
      <c r="F1543" s="5">
        <f>IFERROR(VLOOKUP(D1543, Sheet2!$A:$C, 3, FALSE), 0)</f>
        <v>7363.6363636363631</v>
      </c>
      <c r="G1543" s="6">
        <f t="shared" si="24"/>
        <v>552272.72727272718</v>
      </c>
    </row>
    <row r="1544" spans="1:7" ht="17.25" x14ac:dyDescent="0.3">
      <c r="A1544" s="23" t="s">
        <v>327</v>
      </c>
      <c r="B1544" s="22" t="s">
        <v>24</v>
      </c>
      <c r="C1544" s="4" t="s">
        <v>341</v>
      </c>
      <c r="D1544" s="4" t="s">
        <v>68</v>
      </c>
      <c r="E1544" s="27">
        <f>516/3</f>
        <v>172</v>
      </c>
      <c r="F1544" s="5">
        <f>IFERROR(VLOOKUP(D1544, Sheet2!$A:$C, 3, FALSE), 0)</f>
        <v>13400</v>
      </c>
      <c r="G1544" s="6">
        <f t="shared" si="24"/>
        <v>2304800</v>
      </c>
    </row>
    <row r="1545" spans="1:7" ht="17.25" x14ac:dyDescent="0.3">
      <c r="A1545" s="23" t="s">
        <v>327</v>
      </c>
      <c r="B1545" s="22" t="s">
        <v>75</v>
      </c>
      <c r="C1545" s="4" t="s">
        <v>342</v>
      </c>
      <c r="D1545" s="3" t="s">
        <v>61</v>
      </c>
      <c r="E1545" s="27">
        <f>0.015*7000</f>
        <v>105</v>
      </c>
      <c r="F1545" s="5">
        <f>IFERROR(VLOOKUP(D1545, Sheet2!$A:$C, 3, FALSE), 0)</f>
        <v>7363.6363636363631</v>
      </c>
      <c r="G1545" s="6">
        <f t="shared" si="24"/>
        <v>773181.81818181812</v>
      </c>
    </row>
    <row r="1546" spans="1:7" ht="17.25" x14ac:dyDescent="0.3">
      <c r="A1546" s="23" t="s">
        <v>327</v>
      </c>
      <c r="B1546" s="22" t="s">
        <v>48</v>
      </c>
      <c r="C1546" s="4" t="s">
        <v>344</v>
      </c>
      <c r="D1546" s="3" t="s">
        <v>52</v>
      </c>
      <c r="E1546" s="27">
        <f>840/2</f>
        <v>420</v>
      </c>
      <c r="F1546" s="5">
        <f>IFERROR(VLOOKUP(D1546, Sheet2!$A:$C, 3, FALSE), 0)</f>
        <v>5999.9999999999991</v>
      </c>
      <c r="G1546" s="6">
        <f t="shared" si="24"/>
        <v>2519999.9999999995</v>
      </c>
    </row>
    <row r="1547" spans="1:7" ht="17.25" x14ac:dyDescent="0.3">
      <c r="A1547" s="23" t="s">
        <v>327</v>
      </c>
      <c r="B1547" s="22" t="s">
        <v>29</v>
      </c>
      <c r="C1547" s="4" t="s">
        <v>344</v>
      </c>
      <c r="D1547" s="3" t="s">
        <v>40</v>
      </c>
      <c r="E1547" s="27">
        <f>0.05*5500/0.5</f>
        <v>550</v>
      </c>
      <c r="F1547" s="5">
        <f>IFERROR(VLOOKUP(D1547, Sheet2!$A:$C, 3, FALSE), 0)</f>
        <v>4363.6363636363631</v>
      </c>
      <c r="G1547" s="6">
        <f t="shared" si="24"/>
        <v>2399999.9999999995</v>
      </c>
    </row>
    <row r="1548" spans="1:7" ht="17.25" x14ac:dyDescent="0.3">
      <c r="A1548" s="22" t="s">
        <v>327</v>
      </c>
      <c r="B1548" s="25" t="s">
        <v>27</v>
      </c>
      <c r="C1548" s="4" t="s">
        <v>344</v>
      </c>
      <c r="D1548" s="3" t="s">
        <v>40</v>
      </c>
      <c r="E1548" s="27">
        <f>350/0.5</f>
        <v>700</v>
      </c>
      <c r="F1548" s="5">
        <f>IFERROR(VLOOKUP(D1548, Sheet2!$A:$C, 3, FALSE), 0)</f>
        <v>4363.6363636363631</v>
      </c>
      <c r="G1548" s="6">
        <f t="shared" si="24"/>
        <v>3054545.4545454541</v>
      </c>
    </row>
    <row r="1549" spans="1:7" ht="17.25" x14ac:dyDescent="0.3">
      <c r="A1549" s="23" t="s">
        <v>327</v>
      </c>
      <c r="B1549" s="22" t="s">
        <v>30</v>
      </c>
      <c r="C1549" s="4" t="s">
        <v>344</v>
      </c>
      <c r="D1549" s="3" t="s">
        <v>44</v>
      </c>
      <c r="E1549" s="27">
        <v>171</v>
      </c>
      <c r="F1549" s="5">
        <f>IFERROR(VLOOKUP(D1549, Sheet2!$A:$C, 3, FALSE), 0)</f>
        <v>5909.090909090909</v>
      </c>
      <c r="G1549" s="6">
        <f t="shared" si="24"/>
        <v>1010454.5454545454</v>
      </c>
    </row>
    <row r="1550" spans="1:7" ht="17.25" x14ac:dyDescent="0.3">
      <c r="A1550" s="22" t="s">
        <v>327</v>
      </c>
      <c r="B1550" s="22" t="s">
        <v>30</v>
      </c>
      <c r="C1550" s="4" t="s">
        <v>344</v>
      </c>
      <c r="D1550" s="3" t="s">
        <v>56</v>
      </c>
      <c r="E1550" s="27">
        <v>156</v>
      </c>
      <c r="F1550" s="5">
        <f>IFERROR(VLOOKUP(D1550, Sheet2!$A:$C, 3, FALSE), 0)</f>
        <v>5545.454545454545</v>
      </c>
      <c r="G1550" s="6">
        <f t="shared" si="24"/>
        <v>865090.90909090906</v>
      </c>
    </row>
    <row r="1551" spans="1:7" ht="17.25" x14ac:dyDescent="0.3">
      <c r="A1551" s="22" t="s">
        <v>327</v>
      </c>
      <c r="B1551" s="22" t="s">
        <v>8</v>
      </c>
      <c r="C1551" s="4" t="s">
        <v>338</v>
      </c>
      <c r="D1551" s="3" t="s">
        <v>36</v>
      </c>
      <c r="E1551" s="27">
        <f>0.05*4500/0.9</f>
        <v>250</v>
      </c>
      <c r="F1551" s="5">
        <f>IFERROR(VLOOKUP(D1551, Sheet2!$A:$C, 3, FALSE), 0)</f>
        <v>7899.9999999999991</v>
      </c>
      <c r="G1551" s="6">
        <f t="shared" si="24"/>
        <v>1974999.9999999998</v>
      </c>
    </row>
    <row r="1552" spans="1:7" ht="17.25" x14ac:dyDescent="0.3">
      <c r="A1552" s="23" t="s">
        <v>327</v>
      </c>
      <c r="B1552" s="25" t="s">
        <v>33</v>
      </c>
      <c r="C1552" s="4" t="s">
        <v>344</v>
      </c>
      <c r="D1552" s="3" t="s">
        <v>44</v>
      </c>
      <c r="E1552" s="27">
        <f>0.03*4000</f>
        <v>120</v>
      </c>
      <c r="F1552" s="5">
        <f>IFERROR(VLOOKUP(D1552, Sheet2!$A:$C, 3, FALSE), 0)</f>
        <v>5909.090909090909</v>
      </c>
      <c r="G1552" s="6">
        <f t="shared" ref="G1552:G1615" si="25">E1552*F1552</f>
        <v>709090.90909090906</v>
      </c>
    </row>
    <row r="1553" spans="1:7" ht="17.25" x14ac:dyDescent="0.3">
      <c r="A1553" s="22" t="s">
        <v>327</v>
      </c>
      <c r="B1553" s="25" t="s">
        <v>33</v>
      </c>
      <c r="C1553" s="4" t="s">
        <v>341</v>
      </c>
      <c r="D1553" s="4" t="s">
        <v>110</v>
      </c>
      <c r="E1553" s="27">
        <f>0.01*4000/0.5</f>
        <v>80</v>
      </c>
      <c r="F1553" s="5">
        <f>IFERROR(VLOOKUP(D1553, Sheet2!$A:$C, 3, FALSE), 0)</f>
        <v>2500</v>
      </c>
      <c r="G1553" s="6">
        <f t="shared" si="25"/>
        <v>200000</v>
      </c>
    </row>
    <row r="1554" spans="1:7" ht="17.25" x14ac:dyDescent="0.3">
      <c r="A1554" s="22" t="s">
        <v>327</v>
      </c>
      <c r="B1554" s="25" t="s">
        <v>33</v>
      </c>
      <c r="C1554" s="4" t="s">
        <v>341</v>
      </c>
      <c r="D1554" s="4" t="s">
        <v>68</v>
      </c>
      <c r="E1554" s="27">
        <f>0.06*4000/3</f>
        <v>80</v>
      </c>
      <c r="F1554" s="5">
        <f>IFERROR(VLOOKUP(D1554, Sheet2!$A:$C, 3, FALSE), 0)</f>
        <v>13400</v>
      </c>
      <c r="G1554" s="6">
        <f t="shared" si="25"/>
        <v>1072000</v>
      </c>
    </row>
    <row r="1555" spans="1:7" ht="17.25" x14ac:dyDescent="0.3">
      <c r="A1555" s="23" t="s">
        <v>327</v>
      </c>
      <c r="B1555" s="22" t="s">
        <v>33</v>
      </c>
      <c r="C1555" s="4" t="s">
        <v>344</v>
      </c>
      <c r="D1555" s="3" t="s">
        <v>56</v>
      </c>
      <c r="E1555" s="27">
        <f>0.03*4000</f>
        <v>120</v>
      </c>
      <c r="F1555" s="5">
        <f>IFERROR(VLOOKUP(D1555, Sheet2!$A:$C, 3, FALSE), 0)</f>
        <v>5545.454545454545</v>
      </c>
      <c r="G1555" s="6">
        <f t="shared" si="25"/>
        <v>665454.54545454541</v>
      </c>
    </row>
    <row r="1556" spans="1:7" ht="17.25" x14ac:dyDescent="0.3">
      <c r="A1556" s="23" t="s">
        <v>327</v>
      </c>
      <c r="B1556" s="22" t="s">
        <v>60</v>
      </c>
      <c r="C1556" s="4" t="s">
        <v>344</v>
      </c>
      <c r="D1556" s="3" t="s">
        <v>32</v>
      </c>
      <c r="E1556" s="27">
        <v>400</v>
      </c>
      <c r="F1556" s="5">
        <f>IFERROR(VLOOKUP(D1556, Sheet2!$A:$C, 3, FALSE), 0)</f>
        <v>4363.6363636363631</v>
      </c>
      <c r="G1556" s="6">
        <f t="shared" si="25"/>
        <v>1745454.5454545452</v>
      </c>
    </row>
    <row r="1557" spans="1:7" ht="17.25" x14ac:dyDescent="0.3">
      <c r="A1557" s="23" t="s">
        <v>328</v>
      </c>
      <c r="B1557" s="22" t="s">
        <v>46</v>
      </c>
      <c r="C1557" s="4" t="s">
        <v>342</v>
      </c>
      <c r="D1557" s="3" t="s">
        <v>61</v>
      </c>
      <c r="E1557" s="27">
        <v>389</v>
      </c>
      <c r="F1557" s="5">
        <f>IFERROR(VLOOKUP(D1557, Sheet2!$A:$C, 3, FALSE), 0)</f>
        <v>7363.6363636363631</v>
      </c>
      <c r="G1557" s="6">
        <f t="shared" si="25"/>
        <v>2864454.5454545454</v>
      </c>
    </row>
    <row r="1558" spans="1:7" ht="17.25" x14ac:dyDescent="0.3">
      <c r="A1558" s="23" t="s">
        <v>328</v>
      </c>
      <c r="B1558" s="22" t="s">
        <v>69</v>
      </c>
      <c r="C1558" s="4" t="s">
        <v>341</v>
      </c>
      <c r="D1558" s="4" t="s">
        <v>68</v>
      </c>
      <c r="E1558" s="27">
        <f>(0.03*10000+0.03*10000)/3</f>
        <v>200</v>
      </c>
      <c r="F1558" s="5">
        <f>IFERROR(VLOOKUP(D1558, Sheet2!$A:$C, 3, FALSE), 0)</f>
        <v>13400</v>
      </c>
      <c r="G1558" s="6">
        <f t="shared" si="25"/>
        <v>2680000</v>
      </c>
    </row>
    <row r="1559" spans="1:7" ht="17.25" x14ac:dyDescent="0.3">
      <c r="A1559" s="22" t="s">
        <v>328</v>
      </c>
      <c r="B1559" s="22" t="s">
        <v>25</v>
      </c>
      <c r="C1559" s="4" t="s">
        <v>337</v>
      </c>
      <c r="D1559" s="11" t="s">
        <v>78</v>
      </c>
      <c r="E1559" s="27">
        <f>0.13*9300</f>
        <v>1209</v>
      </c>
      <c r="F1559" s="5">
        <f>IFERROR(VLOOKUP(D1559, Sheet2!$A:$C, 3, FALSE), 0)</f>
        <v>14999.999999999998</v>
      </c>
      <c r="G1559" s="6">
        <f t="shared" si="25"/>
        <v>18134999.999999996</v>
      </c>
    </row>
    <row r="1560" spans="1:7" ht="17.25" x14ac:dyDescent="0.3">
      <c r="A1560" s="23" t="s">
        <v>328</v>
      </c>
      <c r="B1560" s="22" t="s">
        <v>48</v>
      </c>
      <c r="C1560" s="4" t="s">
        <v>344</v>
      </c>
      <c r="D1560" s="3" t="s">
        <v>52</v>
      </c>
      <c r="E1560" s="27">
        <f>840/2</f>
        <v>420</v>
      </c>
      <c r="F1560" s="5">
        <f>IFERROR(VLOOKUP(D1560, Sheet2!$A:$C, 3, FALSE), 0)</f>
        <v>5999.9999999999991</v>
      </c>
      <c r="G1560" s="6">
        <f t="shared" si="25"/>
        <v>2519999.9999999995</v>
      </c>
    </row>
    <row r="1561" spans="1:7" ht="17.25" x14ac:dyDescent="0.3">
      <c r="A1561" s="22" t="s">
        <v>328</v>
      </c>
      <c r="B1561" s="22" t="s">
        <v>16</v>
      </c>
      <c r="C1561" s="4" t="s">
        <v>337</v>
      </c>
      <c r="D1561" s="3" t="s">
        <v>55</v>
      </c>
      <c r="E1561" s="27">
        <f>0.13*12000</f>
        <v>1560</v>
      </c>
      <c r="F1561" s="5">
        <f>IFERROR(VLOOKUP(D1561, Sheet2!$A:$C, 3, FALSE), 0)</f>
        <v>14899.999999999998</v>
      </c>
      <c r="G1561" s="6">
        <f t="shared" si="25"/>
        <v>23243999.999999996</v>
      </c>
    </row>
    <row r="1562" spans="1:7" ht="17.25" x14ac:dyDescent="0.3">
      <c r="A1562" s="23" t="s">
        <v>328</v>
      </c>
      <c r="B1562" s="22" t="s">
        <v>11</v>
      </c>
      <c r="C1562" s="4" t="s">
        <v>339</v>
      </c>
      <c r="D1562" s="3" t="s">
        <v>89</v>
      </c>
      <c r="E1562" s="29">
        <f>0.24*9000</f>
        <v>2160</v>
      </c>
      <c r="F1562" s="5">
        <f>IFERROR(VLOOKUP(D1562, Sheet2!$A:$C, 3, FALSE), 0)</f>
        <v>5000</v>
      </c>
      <c r="G1562" s="6">
        <f t="shared" si="25"/>
        <v>10800000</v>
      </c>
    </row>
    <row r="1563" spans="1:7" ht="17.25" x14ac:dyDescent="0.3">
      <c r="A1563" s="23" t="s">
        <v>328</v>
      </c>
      <c r="B1563" s="25" t="s">
        <v>41</v>
      </c>
      <c r="C1563" s="4" t="s">
        <v>344</v>
      </c>
      <c r="D1563" s="4" t="s">
        <v>39</v>
      </c>
      <c r="E1563" s="28">
        <f>0.07*7000</f>
        <v>490.00000000000006</v>
      </c>
      <c r="F1563" s="5">
        <f>IFERROR(VLOOKUP(D1563, Sheet2!$A:$C, 3, FALSE), 0)</f>
        <v>3863.6363636363635</v>
      </c>
      <c r="G1563" s="6">
        <f t="shared" si="25"/>
        <v>1893181.8181818184</v>
      </c>
    </row>
    <row r="1564" spans="1:7" ht="17.25" x14ac:dyDescent="0.3">
      <c r="A1564" s="23" t="s">
        <v>329</v>
      </c>
      <c r="B1564" s="22" t="s">
        <v>69</v>
      </c>
      <c r="C1564" s="4" t="s">
        <v>341</v>
      </c>
      <c r="D1564" s="4" t="s">
        <v>68</v>
      </c>
      <c r="E1564" s="27">
        <f>0.06*10000/3</f>
        <v>200</v>
      </c>
      <c r="F1564" s="5">
        <f>IFERROR(VLOOKUP(D1564, Sheet2!$A:$C, 3, FALSE), 0)</f>
        <v>13400</v>
      </c>
      <c r="G1564" s="6">
        <f t="shared" si="25"/>
        <v>2680000</v>
      </c>
    </row>
    <row r="1565" spans="1:7" ht="17.25" x14ac:dyDescent="0.3">
      <c r="A1565" s="22" t="s">
        <v>329</v>
      </c>
      <c r="B1565" s="22" t="s">
        <v>25</v>
      </c>
      <c r="C1565" s="4" t="s">
        <v>337</v>
      </c>
      <c r="D1565" s="9" t="s">
        <v>79</v>
      </c>
      <c r="E1565" s="28">
        <f>0.15*9300/3</f>
        <v>465</v>
      </c>
      <c r="F1565" s="5">
        <f>IFERROR(VLOOKUP(D1565, Sheet2!$A:$C, 3, FALSE), 0)</f>
        <v>21363.63636363636</v>
      </c>
      <c r="G1565" s="6">
        <f t="shared" si="25"/>
        <v>9934090.9090909082</v>
      </c>
    </row>
    <row r="1566" spans="1:7" ht="17.25" x14ac:dyDescent="0.3">
      <c r="A1566" s="23" t="s">
        <v>329</v>
      </c>
      <c r="B1566" s="22" t="s">
        <v>25</v>
      </c>
      <c r="C1566" s="4" t="s">
        <v>215</v>
      </c>
      <c r="D1566" s="3" t="s">
        <v>173</v>
      </c>
      <c r="E1566" s="27">
        <f>0.1*9300</f>
        <v>930</v>
      </c>
      <c r="F1566" s="5">
        <f>IFERROR(VLOOKUP(D1566, Sheet2!$A:$C, 3, FALSE), 0)</f>
        <v>7181.8181818181811</v>
      </c>
      <c r="G1566" s="6">
        <f t="shared" si="25"/>
        <v>6679090.9090909082</v>
      </c>
    </row>
    <row r="1567" spans="1:7" ht="17.25" x14ac:dyDescent="0.3">
      <c r="A1567" s="22" t="s">
        <v>329</v>
      </c>
      <c r="B1567" s="22" t="s">
        <v>24</v>
      </c>
      <c r="C1567" s="4" t="s">
        <v>342</v>
      </c>
      <c r="D1567" s="3" t="s">
        <v>61</v>
      </c>
      <c r="E1567" s="27">
        <v>95</v>
      </c>
      <c r="F1567" s="5">
        <f>IFERROR(VLOOKUP(D1567, Sheet2!$A:$C, 3, FALSE), 0)</f>
        <v>7363.6363636363631</v>
      </c>
      <c r="G1567" s="6">
        <f t="shared" si="25"/>
        <v>699545.45454545447</v>
      </c>
    </row>
    <row r="1568" spans="1:7" ht="17.25" x14ac:dyDescent="0.3">
      <c r="A1568" s="23" t="s">
        <v>329</v>
      </c>
      <c r="B1568" s="22" t="s">
        <v>11</v>
      </c>
      <c r="C1568" s="4" t="s">
        <v>339</v>
      </c>
      <c r="D1568" s="3" t="s">
        <v>189</v>
      </c>
      <c r="E1568" s="27">
        <v>74</v>
      </c>
      <c r="F1568" s="5">
        <f>IFERROR(VLOOKUP(D1568, Sheet2!$A:$C, 3, FALSE), 0)</f>
        <v>13636.363636363636</v>
      </c>
      <c r="G1568" s="6">
        <f t="shared" si="25"/>
        <v>1009090.9090909091</v>
      </c>
    </row>
    <row r="1569" spans="1:7" ht="17.25" x14ac:dyDescent="0.3">
      <c r="A1569" s="23" t="s">
        <v>329</v>
      </c>
      <c r="B1569" s="22" t="s">
        <v>11</v>
      </c>
      <c r="C1569" s="4" t="s">
        <v>342</v>
      </c>
      <c r="D1569" s="3" t="s">
        <v>61</v>
      </c>
      <c r="E1569" s="27">
        <f>0.01*9000</f>
        <v>90</v>
      </c>
      <c r="F1569" s="5">
        <f>IFERROR(VLOOKUP(D1569, Sheet2!$A:$C, 3, FALSE), 0)</f>
        <v>7363.6363636363631</v>
      </c>
      <c r="G1569" s="6">
        <f t="shared" si="25"/>
        <v>662727.27272727271</v>
      </c>
    </row>
    <row r="1570" spans="1:7" ht="17.25" x14ac:dyDescent="0.3">
      <c r="A1570" s="22" t="s">
        <v>329</v>
      </c>
      <c r="B1570" s="25" t="s">
        <v>41</v>
      </c>
      <c r="C1570" s="4" t="s">
        <v>344</v>
      </c>
      <c r="D1570" s="4" t="s">
        <v>39</v>
      </c>
      <c r="E1570" s="28">
        <f>0.1*7000</f>
        <v>700</v>
      </c>
      <c r="F1570" s="5">
        <f>IFERROR(VLOOKUP(D1570, Sheet2!$A:$C, 3, FALSE), 0)</f>
        <v>3863.6363636363635</v>
      </c>
      <c r="G1570" s="6">
        <f t="shared" si="25"/>
        <v>2704545.4545454546</v>
      </c>
    </row>
    <row r="1571" spans="1:7" ht="17.25" x14ac:dyDescent="0.3">
      <c r="A1571" s="22" t="s">
        <v>329</v>
      </c>
      <c r="B1571" s="25" t="s">
        <v>33</v>
      </c>
      <c r="C1571" s="4" t="s">
        <v>341</v>
      </c>
      <c r="D1571" s="4" t="s">
        <v>110</v>
      </c>
      <c r="E1571" s="27">
        <f>0.01*4000/0.5</f>
        <v>80</v>
      </c>
      <c r="F1571" s="5">
        <f>IFERROR(VLOOKUP(D1571, Sheet2!$A:$C, 3, FALSE), 0)</f>
        <v>2500</v>
      </c>
      <c r="G1571" s="6">
        <f t="shared" si="25"/>
        <v>200000</v>
      </c>
    </row>
    <row r="1572" spans="1:7" ht="17.25" x14ac:dyDescent="0.3">
      <c r="A1572" s="23" t="s">
        <v>329</v>
      </c>
      <c r="B1572" s="25" t="s">
        <v>33</v>
      </c>
      <c r="C1572" s="4" t="s">
        <v>341</v>
      </c>
      <c r="D1572" s="4" t="s">
        <v>68</v>
      </c>
      <c r="E1572" s="27">
        <f>(0.025*4000+0.1*4000)/3</f>
        <v>166.66666666666666</v>
      </c>
      <c r="F1572" s="5">
        <f>IFERROR(VLOOKUP(D1572, Sheet2!$A:$C, 3, FALSE), 0)</f>
        <v>13400</v>
      </c>
      <c r="G1572" s="6">
        <f t="shared" si="25"/>
        <v>2233333.333333333</v>
      </c>
    </row>
    <row r="1573" spans="1:7" ht="17.25" x14ac:dyDescent="0.3">
      <c r="A1573" s="23" t="s">
        <v>330</v>
      </c>
      <c r="B1573" s="25" t="s">
        <v>5</v>
      </c>
      <c r="C1573" s="4" t="s">
        <v>337</v>
      </c>
      <c r="D1573" s="3" t="s">
        <v>83</v>
      </c>
      <c r="E1573" s="27">
        <v>828</v>
      </c>
      <c r="F1573" s="5">
        <f>IFERROR(VLOOKUP(D1573, Sheet2!$A:$C, 3, FALSE), 0)</f>
        <v>7636.363636363636</v>
      </c>
      <c r="G1573" s="6">
        <f t="shared" si="25"/>
        <v>6322909.0909090908</v>
      </c>
    </row>
    <row r="1574" spans="1:7" ht="17.25" x14ac:dyDescent="0.3">
      <c r="A1574" s="22" t="s">
        <v>330</v>
      </c>
      <c r="B1574" s="22" t="s">
        <v>21</v>
      </c>
      <c r="C1574" s="4" t="s">
        <v>344</v>
      </c>
      <c r="D1574" s="3" t="s">
        <v>22</v>
      </c>
      <c r="E1574" s="27">
        <v>170</v>
      </c>
      <c r="F1574" s="5">
        <f>IFERROR(VLOOKUP(D1574, Sheet2!$A:$C, 3, FALSE), 0)</f>
        <v>5999.9999999999991</v>
      </c>
      <c r="G1574" s="6">
        <f t="shared" si="25"/>
        <v>1019999.9999999999</v>
      </c>
    </row>
    <row r="1575" spans="1:7" ht="17.25" x14ac:dyDescent="0.3">
      <c r="A1575" s="22" t="s">
        <v>330</v>
      </c>
      <c r="B1575" s="22" t="s">
        <v>21</v>
      </c>
      <c r="C1575" s="4" t="s">
        <v>344</v>
      </c>
      <c r="D1575" s="3" t="s">
        <v>52</v>
      </c>
      <c r="E1575" s="27">
        <v>85</v>
      </c>
      <c r="F1575" s="5">
        <f>IFERROR(VLOOKUP(D1575, Sheet2!$A:$C, 3, FALSE), 0)</f>
        <v>5999.9999999999991</v>
      </c>
      <c r="G1575" s="6">
        <f t="shared" si="25"/>
        <v>509999.99999999994</v>
      </c>
    </row>
    <row r="1576" spans="1:7" ht="17.25" x14ac:dyDescent="0.3">
      <c r="A1576" s="22" t="s">
        <v>330</v>
      </c>
      <c r="B1576" s="22" t="s">
        <v>27</v>
      </c>
      <c r="C1576" s="4" t="s">
        <v>344</v>
      </c>
      <c r="D1576" s="3" t="s">
        <v>20</v>
      </c>
      <c r="E1576" s="27">
        <v>350</v>
      </c>
      <c r="F1576" s="5">
        <f>IFERROR(VLOOKUP(D1576, Sheet2!$A:$C, 3, FALSE), 0)</f>
        <v>6999.9999999999991</v>
      </c>
      <c r="G1576" s="6">
        <f t="shared" si="25"/>
        <v>2449999.9999999995</v>
      </c>
    </row>
    <row r="1577" spans="1:7" ht="17.25" x14ac:dyDescent="0.3">
      <c r="A1577" s="22" t="s">
        <v>330</v>
      </c>
      <c r="B1577" s="22" t="s">
        <v>30</v>
      </c>
      <c r="C1577" s="4" t="s">
        <v>344</v>
      </c>
      <c r="D1577" s="3" t="s">
        <v>20</v>
      </c>
      <c r="E1577" s="27">
        <v>364</v>
      </c>
      <c r="F1577" s="5">
        <f>IFERROR(VLOOKUP(D1577, Sheet2!$A:$C, 3, FALSE), 0)</f>
        <v>6999.9999999999991</v>
      </c>
      <c r="G1577" s="6">
        <f t="shared" si="25"/>
        <v>2547999.9999999995</v>
      </c>
    </row>
    <row r="1578" spans="1:7" ht="17.25" x14ac:dyDescent="0.3">
      <c r="A1578" s="22" t="s">
        <v>331</v>
      </c>
      <c r="B1578" s="22" t="s">
        <v>31</v>
      </c>
      <c r="C1578" s="4" t="s">
        <v>343</v>
      </c>
      <c r="D1578" s="3" t="s">
        <v>45</v>
      </c>
      <c r="E1578" s="27">
        <f>0.04*7000</f>
        <v>280</v>
      </c>
      <c r="F1578" s="5">
        <f>IFERROR(VLOOKUP(D1578, Sheet2!$A:$C, 3, FALSE), 0)</f>
        <v>10909.090909090908</v>
      </c>
      <c r="G1578" s="6">
        <f t="shared" si="25"/>
        <v>3054545.4545454541</v>
      </c>
    </row>
    <row r="1579" spans="1:7" ht="17.25" x14ac:dyDescent="0.3">
      <c r="A1579" s="22" t="s">
        <v>331</v>
      </c>
      <c r="B1579" s="22" t="s">
        <v>69</v>
      </c>
      <c r="C1579" s="4" t="s">
        <v>341</v>
      </c>
      <c r="D1579" s="4" t="s">
        <v>68</v>
      </c>
      <c r="E1579" s="27">
        <f>(0.03*10000+0.03*10000)/3</f>
        <v>200</v>
      </c>
      <c r="F1579" s="5">
        <f>IFERROR(VLOOKUP(D1579, Sheet2!$A:$C, 3, FALSE), 0)</f>
        <v>13400</v>
      </c>
      <c r="G1579" s="6">
        <f t="shared" si="25"/>
        <v>2680000</v>
      </c>
    </row>
    <row r="1580" spans="1:7" ht="17.25" x14ac:dyDescent="0.3">
      <c r="A1580" s="22" t="s">
        <v>331</v>
      </c>
      <c r="B1580" s="22" t="s">
        <v>150</v>
      </c>
      <c r="C1580" s="4" t="s">
        <v>344</v>
      </c>
      <c r="D1580" s="3" t="s">
        <v>139</v>
      </c>
      <c r="E1580" s="27">
        <v>450</v>
      </c>
      <c r="F1580" s="5">
        <f>IFERROR(VLOOKUP(D1580, Sheet2!$A:$C, 3, FALSE), 0)</f>
        <v>4363.6363636363631</v>
      </c>
      <c r="G1580" s="6">
        <f t="shared" si="25"/>
        <v>1963636.3636363633</v>
      </c>
    </row>
    <row r="1581" spans="1:7" ht="17.25" x14ac:dyDescent="0.3">
      <c r="A1581" s="23" t="s">
        <v>331</v>
      </c>
      <c r="B1581" s="22" t="s">
        <v>29</v>
      </c>
      <c r="C1581" s="4" t="s">
        <v>344</v>
      </c>
      <c r="D1581" s="3" t="s">
        <v>20</v>
      </c>
      <c r="E1581" s="27">
        <f>0.05*5500</f>
        <v>275</v>
      </c>
      <c r="F1581" s="5">
        <f>IFERROR(VLOOKUP(D1581, Sheet2!$A:$C, 3, FALSE), 0)</f>
        <v>6999.9999999999991</v>
      </c>
      <c r="G1581" s="6">
        <f t="shared" si="25"/>
        <v>1924999.9999999998</v>
      </c>
    </row>
    <row r="1582" spans="1:7" ht="17.25" x14ac:dyDescent="0.3">
      <c r="A1582" s="23" t="s">
        <v>331</v>
      </c>
      <c r="B1582" s="22" t="s">
        <v>16</v>
      </c>
      <c r="C1582" s="4" t="s">
        <v>342</v>
      </c>
      <c r="D1582" s="3" t="s">
        <v>35</v>
      </c>
      <c r="E1582" s="27">
        <f>0.05*12000</f>
        <v>600</v>
      </c>
      <c r="F1582" s="5">
        <f>IFERROR(VLOOKUP(D1582, Sheet2!$A:$C, 3, FALSE), 0)</f>
        <v>8363.6363636363621</v>
      </c>
      <c r="G1582" s="6">
        <f t="shared" si="25"/>
        <v>5018181.8181818174</v>
      </c>
    </row>
    <row r="1583" spans="1:7" ht="17.25" x14ac:dyDescent="0.3">
      <c r="A1583" s="22" t="s">
        <v>331</v>
      </c>
      <c r="B1583" s="22" t="s">
        <v>63</v>
      </c>
      <c r="C1583" s="4" t="s">
        <v>343</v>
      </c>
      <c r="D1583" s="3" t="s">
        <v>135</v>
      </c>
      <c r="E1583" s="27">
        <f>0.14*7500</f>
        <v>1050</v>
      </c>
      <c r="F1583" s="5">
        <f>IFERROR(VLOOKUP(D1583, Sheet2!$A:$C, 3, FALSE), 0)</f>
        <v>13999.999999999998</v>
      </c>
      <c r="G1583" s="6">
        <f t="shared" si="25"/>
        <v>14699999.999999998</v>
      </c>
    </row>
    <row r="1584" spans="1:7" ht="17.25" x14ac:dyDescent="0.3">
      <c r="A1584" s="22" t="s">
        <v>331</v>
      </c>
      <c r="B1584" s="25" t="s">
        <v>33</v>
      </c>
      <c r="C1584" s="4" t="s">
        <v>344</v>
      </c>
      <c r="D1584" s="3" t="s">
        <v>20</v>
      </c>
      <c r="E1584" s="27">
        <f>0.07*4000</f>
        <v>280</v>
      </c>
      <c r="F1584" s="5">
        <f>IFERROR(VLOOKUP(D1584, Sheet2!$A:$C, 3, FALSE), 0)</f>
        <v>6999.9999999999991</v>
      </c>
      <c r="G1584" s="6">
        <f t="shared" si="25"/>
        <v>1959999.9999999998</v>
      </c>
    </row>
    <row r="1585" spans="1:7" ht="17.25" x14ac:dyDescent="0.3">
      <c r="A1585" s="22" t="s">
        <v>331</v>
      </c>
      <c r="B1585" s="22" t="s">
        <v>51</v>
      </c>
      <c r="C1585" s="4" t="s">
        <v>337</v>
      </c>
      <c r="D1585" s="3" t="s">
        <v>9</v>
      </c>
      <c r="E1585" s="27">
        <v>960</v>
      </c>
      <c r="F1585" s="5">
        <f>IFERROR(VLOOKUP(D1585, Sheet2!$A:$C, 3, FALSE), 0)</f>
        <v>18636.363636363636</v>
      </c>
      <c r="G1585" s="6">
        <f t="shared" si="25"/>
        <v>17890909.09090909</v>
      </c>
    </row>
    <row r="1586" spans="1:7" ht="17.25" x14ac:dyDescent="0.3">
      <c r="A1586" s="23" t="s">
        <v>331</v>
      </c>
      <c r="B1586" s="22" t="s">
        <v>18</v>
      </c>
      <c r="C1586" s="4" t="s">
        <v>337</v>
      </c>
      <c r="D1586" s="11" t="s">
        <v>83</v>
      </c>
      <c r="E1586" s="27">
        <v>759</v>
      </c>
      <c r="F1586" s="5">
        <f>IFERROR(VLOOKUP(D1586, Sheet2!$A:$C, 3, FALSE), 0)</f>
        <v>7636.363636363636</v>
      </c>
      <c r="G1586" s="6">
        <f t="shared" si="25"/>
        <v>5796000</v>
      </c>
    </row>
    <row r="1587" spans="1:7" ht="17.25" x14ac:dyDescent="0.3">
      <c r="A1587" s="22" t="s">
        <v>332</v>
      </c>
      <c r="B1587" s="25" t="s">
        <v>93</v>
      </c>
      <c r="C1587" s="4" t="s">
        <v>342</v>
      </c>
      <c r="D1587" s="3" t="s">
        <v>35</v>
      </c>
      <c r="E1587" s="27">
        <v>425</v>
      </c>
      <c r="F1587" s="5">
        <f>IFERROR(VLOOKUP(D1587, Sheet2!$A:$C, 3, FALSE), 0)</f>
        <v>8363.6363636363621</v>
      </c>
      <c r="G1587" s="6">
        <f t="shared" si="25"/>
        <v>3554545.4545454541</v>
      </c>
    </row>
    <row r="1588" spans="1:7" ht="17.25" x14ac:dyDescent="0.3">
      <c r="A1588" s="23" t="s">
        <v>332</v>
      </c>
      <c r="B1588" s="22" t="s">
        <v>21</v>
      </c>
      <c r="C1588" s="4" t="s">
        <v>344</v>
      </c>
      <c r="D1588" s="11" t="s">
        <v>44</v>
      </c>
      <c r="E1588" s="27">
        <v>255</v>
      </c>
      <c r="F1588" s="5">
        <f>IFERROR(VLOOKUP(D1588, Sheet2!$A:$C, 3, FALSE), 0)</f>
        <v>5909.090909090909</v>
      </c>
      <c r="G1588" s="6">
        <f t="shared" si="25"/>
        <v>1506818.1818181819</v>
      </c>
    </row>
    <row r="1589" spans="1:7" ht="17.25" x14ac:dyDescent="0.3">
      <c r="A1589" s="23" t="s">
        <v>332</v>
      </c>
      <c r="B1589" s="22" t="s">
        <v>21</v>
      </c>
      <c r="C1589" s="4" t="s">
        <v>344</v>
      </c>
      <c r="D1589" s="3" t="s">
        <v>22</v>
      </c>
      <c r="E1589" s="27">
        <v>85</v>
      </c>
      <c r="F1589" s="5">
        <f>IFERROR(VLOOKUP(D1589, Sheet2!$A:$C, 3, FALSE), 0)</f>
        <v>5999.9999999999991</v>
      </c>
      <c r="G1589" s="6">
        <f t="shared" si="25"/>
        <v>509999.99999999994</v>
      </c>
    </row>
    <row r="1590" spans="1:7" ht="17.25" x14ac:dyDescent="0.3">
      <c r="A1590" s="22" t="s">
        <v>332</v>
      </c>
      <c r="B1590" s="22" t="s">
        <v>24</v>
      </c>
      <c r="C1590" s="4" t="s">
        <v>338</v>
      </c>
      <c r="D1590" s="3" t="s">
        <v>73</v>
      </c>
      <c r="E1590" s="27">
        <f>216/0.78</f>
        <v>276.92307692307691</v>
      </c>
      <c r="F1590" s="5">
        <f>IFERROR(VLOOKUP(D1590, Sheet2!$A:$C, 3, FALSE), 0)</f>
        <v>7899.9999999999991</v>
      </c>
      <c r="G1590" s="6">
        <f t="shared" si="25"/>
        <v>2187692.3076923075</v>
      </c>
    </row>
    <row r="1591" spans="1:7" ht="17.25" x14ac:dyDescent="0.3">
      <c r="A1591" s="22" t="s">
        <v>332</v>
      </c>
      <c r="B1591" s="22" t="s">
        <v>60</v>
      </c>
      <c r="C1591" s="4" t="s">
        <v>337</v>
      </c>
      <c r="D1591" s="11" t="s">
        <v>128</v>
      </c>
      <c r="E1591" s="27">
        <v>340</v>
      </c>
      <c r="F1591" s="5">
        <f>IFERROR(VLOOKUP(D1591, Sheet2!$A:$C, 3, FALSE), 0)</f>
        <v>20727.272727272724</v>
      </c>
      <c r="G1591" s="6">
        <f t="shared" si="25"/>
        <v>7047272.7272727266</v>
      </c>
    </row>
    <row r="1592" spans="1:7" ht="17.25" x14ac:dyDescent="0.3">
      <c r="A1592" s="22" t="s">
        <v>333</v>
      </c>
      <c r="B1592" s="22" t="s">
        <v>19</v>
      </c>
      <c r="C1592" s="4" t="s">
        <v>338</v>
      </c>
      <c r="D1592" s="3" t="s">
        <v>73</v>
      </c>
      <c r="E1592" s="27">
        <f>0.06*6800/0.78</f>
        <v>523.07692307692309</v>
      </c>
      <c r="F1592" s="5">
        <f>IFERROR(VLOOKUP(D1592, Sheet2!$A:$C, 3, FALSE), 0)</f>
        <v>7899.9999999999991</v>
      </c>
      <c r="G1592" s="6">
        <f t="shared" si="25"/>
        <v>4132307.692307692</v>
      </c>
    </row>
    <row r="1593" spans="1:7" ht="17.25" x14ac:dyDescent="0.3">
      <c r="A1593" s="22" t="s">
        <v>333</v>
      </c>
      <c r="B1593" s="22" t="s">
        <v>46</v>
      </c>
      <c r="C1593" s="4" t="s">
        <v>337</v>
      </c>
      <c r="D1593" s="3" t="s">
        <v>78</v>
      </c>
      <c r="E1593" s="27">
        <v>1265</v>
      </c>
      <c r="F1593" s="5">
        <f>IFERROR(VLOOKUP(D1593, Sheet2!$A:$C, 3, FALSE), 0)</f>
        <v>14999.999999999998</v>
      </c>
      <c r="G1593" s="6">
        <f t="shared" si="25"/>
        <v>18974999.999999996</v>
      </c>
    </row>
    <row r="1594" spans="1:7" ht="17.25" x14ac:dyDescent="0.3">
      <c r="A1594" s="22" t="s">
        <v>333</v>
      </c>
      <c r="B1594" s="22" t="s">
        <v>46</v>
      </c>
      <c r="C1594" s="4" t="s">
        <v>337</v>
      </c>
      <c r="D1594" s="3" t="s">
        <v>6</v>
      </c>
      <c r="E1594" s="27">
        <v>1265</v>
      </c>
      <c r="F1594" s="5">
        <f>IFERROR(VLOOKUP(D1594, Sheet2!$A:$C, 3, FALSE), 0)</f>
        <v>14999.999999999998</v>
      </c>
      <c r="G1594" s="6">
        <f t="shared" si="25"/>
        <v>18974999.999999996</v>
      </c>
    </row>
    <row r="1595" spans="1:7" ht="17.25" x14ac:dyDescent="0.3">
      <c r="A1595" s="22" t="s">
        <v>333</v>
      </c>
      <c r="B1595" s="22" t="s">
        <v>46</v>
      </c>
      <c r="C1595" s="4" t="s">
        <v>342</v>
      </c>
      <c r="D1595" s="11" t="s">
        <v>35</v>
      </c>
      <c r="E1595" s="27">
        <v>584</v>
      </c>
      <c r="F1595" s="5">
        <f>IFERROR(VLOOKUP(D1595, Sheet2!$A:$C, 3, FALSE), 0)</f>
        <v>8363.6363636363621</v>
      </c>
      <c r="G1595" s="6">
        <f t="shared" si="25"/>
        <v>4884363.6363636358</v>
      </c>
    </row>
    <row r="1596" spans="1:7" ht="17.25" x14ac:dyDescent="0.3">
      <c r="A1596" s="23" t="s">
        <v>333</v>
      </c>
      <c r="B1596" s="22" t="s">
        <v>31</v>
      </c>
      <c r="C1596" s="4" t="s">
        <v>344</v>
      </c>
      <c r="D1596" s="3" t="s">
        <v>32</v>
      </c>
      <c r="E1596" s="27">
        <f>0.06*7000/0.6</f>
        <v>700</v>
      </c>
      <c r="F1596" s="5">
        <f>IFERROR(VLOOKUP(D1596, Sheet2!$A:$C, 3, FALSE), 0)</f>
        <v>4363.6363636363631</v>
      </c>
      <c r="G1596" s="6">
        <f t="shared" si="25"/>
        <v>3054545.4545454541</v>
      </c>
    </row>
    <row r="1597" spans="1:7" ht="17.25" x14ac:dyDescent="0.3">
      <c r="A1597" s="23" t="s">
        <v>333</v>
      </c>
      <c r="B1597" s="22" t="s">
        <v>69</v>
      </c>
      <c r="C1597" s="4" t="s">
        <v>341</v>
      </c>
      <c r="D1597" s="4" t="s">
        <v>68</v>
      </c>
      <c r="E1597" s="27">
        <f>(0.03*10000+0.03*10000)/3</f>
        <v>200</v>
      </c>
      <c r="F1597" s="5">
        <f>IFERROR(VLOOKUP(D1597, Sheet2!$A:$C, 3, FALSE), 0)</f>
        <v>13400</v>
      </c>
      <c r="G1597" s="6">
        <f t="shared" si="25"/>
        <v>2680000</v>
      </c>
    </row>
    <row r="1598" spans="1:7" ht="17.25" x14ac:dyDescent="0.3">
      <c r="A1598" s="23" t="s">
        <v>333</v>
      </c>
      <c r="B1598" s="22" t="s">
        <v>25</v>
      </c>
      <c r="C1598" s="4" t="s">
        <v>215</v>
      </c>
      <c r="D1598" s="3" t="s">
        <v>173</v>
      </c>
      <c r="E1598" s="27">
        <f>0.1*9300</f>
        <v>930</v>
      </c>
      <c r="F1598" s="5">
        <f>IFERROR(VLOOKUP(D1598, Sheet2!$A:$C, 3, FALSE), 0)</f>
        <v>7181.8181818181811</v>
      </c>
      <c r="G1598" s="6">
        <f t="shared" si="25"/>
        <v>6679090.9090909082</v>
      </c>
    </row>
    <row r="1599" spans="1:7" ht="17.25" x14ac:dyDescent="0.3">
      <c r="A1599" s="22" t="s">
        <v>333</v>
      </c>
      <c r="B1599" s="22" t="s">
        <v>25</v>
      </c>
      <c r="C1599" s="4" t="s">
        <v>215</v>
      </c>
      <c r="D1599" s="3" t="s">
        <v>264</v>
      </c>
      <c r="E1599" s="27">
        <f>0.12*9300</f>
        <v>1116</v>
      </c>
      <c r="F1599" s="5">
        <f>IFERROR(VLOOKUP(D1599, Sheet2!$A:$C, 3, FALSE), 0)</f>
        <v>4454.545454545454</v>
      </c>
      <c r="G1599" s="6">
        <f t="shared" si="25"/>
        <v>4971272.7272727266</v>
      </c>
    </row>
    <row r="1600" spans="1:7" ht="17.25" x14ac:dyDescent="0.3">
      <c r="A1600" s="23" t="s">
        <v>333</v>
      </c>
      <c r="B1600" s="22" t="s">
        <v>24</v>
      </c>
      <c r="C1600" s="4" t="s">
        <v>338</v>
      </c>
      <c r="D1600" s="3" t="s">
        <v>73</v>
      </c>
      <c r="E1600" s="27">
        <f>216/0.78</f>
        <v>276.92307692307691</v>
      </c>
      <c r="F1600" s="5">
        <f>IFERROR(VLOOKUP(D1600, Sheet2!$A:$C, 3, FALSE), 0)</f>
        <v>7899.9999999999991</v>
      </c>
      <c r="G1600" s="6">
        <f t="shared" si="25"/>
        <v>2187692.3076923075</v>
      </c>
    </row>
    <row r="1601" spans="1:7" ht="17.25" x14ac:dyDescent="0.3">
      <c r="A1601" s="22" t="s">
        <v>333</v>
      </c>
      <c r="B1601" s="22" t="s">
        <v>23</v>
      </c>
      <c r="C1601" s="4" t="s">
        <v>338</v>
      </c>
      <c r="D1601" s="3" t="s">
        <v>36</v>
      </c>
      <c r="E1601" s="27">
        <f>0.07*4000/0.9</f>
        <v>311.11111111111109</v>
      </c>
      <c r="F1601" s="5">
        <f>IFERROR(VLOOKUP(D1601, Sheet2!$A:$C, 3, FALSE), 0)</f>
        <v>7899.9999999999991</v>
      </c>
      <c r="G1601" s="6">
        <f t="shared" si="25"/>
        <v>2457777.7777777775</v>
      </c>
    </row>
    <row r="1602" spans="1:7" ht="17.25" x14ac:dyDescent="0.3">
      <c r="A1602" s="22" t="s">
        <v>333</v>
      </c>
      <c r="B1602" s="22" t="s">
        <v>23</v>
      </c>
      <c r="C1602" s="4" t="s">
        <v>338</v>
      </c>
      <c r="D1602" s="3" t="s">
        <v>36</v>
      </c>
      <c r="E1602" s="27">
        <f>0.07*4000/0.9</f>
        <v>311.11111111111109</v>
      </c>
      <c r="F1602" s="5">
        <f>IFERROR(VLOOKUP(D1602, Sheet2!$A:$C, 3, FALSE), 0)</f>
        <v>7899.9999999999991</v>
      </c>
      <c r="G1602" s="6">
        <f t="shared" si="25"/>
        <v>2457777.7777777775</v>
      </c>
    </row>
    <row r="1603" spans="1:7" ht="17.25" x14ac:dyDescent="0.3">
      <c r="A1603" s="22" t="s">
        <v>333</v>
      </c>
      <c r="B1603" s="22" t="s">
        <v>102</v>
      </c>
      <c r="C1603" s="4" t="s">
        <v>342</v>
      </c>
      <c r="D1603" s="3" t="s">
        <v>35</v>
      </c>
      <c r="E1603" s="27">
        <f>0.05*3000</f>
        <v>150</v>
      </c>
      <c r="F1603" s="5">
        <f>IFERROR(VLOOKUP(D1603, Sheet2!$A:$C, 3, FALSE), 0)</f>
        <v>8363.6363636363621</v>
      </c>
      <c r="G1603" s="6">
        <f t="shared" si="25"/>
        <v>1254545.4545454544</v>
      </c>
    </row>
    <row r="1604" spans="1:7" ht="17.25" x14ac:dyDescent="0.3">
      <c r="A1604" s="23" t="s">
        <v>333</v>
      </c>
      <c r="B1604" s="22" t="s">
        <v>75</v>
      </c>
      <c r="C1604" s="4" t="s">
        <v>342</v>
      </c>
      <c r="D1604" s="3" t="s">
        <v>61</v>
      </c>
      <c r="E1604" s="27">
        <f>0.015*7000</f>
        <v>105</v>
      </c>
      <c r="F1604" s="5">
        <f>IFERROR(VLOOKUP(D1604, Sheet2!$A:$C, 3, FALSE), 0)</f>
        <v>7363.6363636363631</v>
      </c>
      <c r="G1604" s="6">
        <f t="shared" si="25"/>
        <v>773181.81818181812</v>
      </c>
    </row>
    <row r="1605" spans="1:7" ht="17.25" x14ac:dyDescent="0.3">
      <c r="A1605" s="22" t="s">
        <v>333</v>
      </c>
      <c r="B1605" s="25" t="s">
        <v>41</v>
      </c>
      <c r="C1605" s="4" t="s">
        <v>344</v>
      </c>
      <c r="D1605" s="3" t="s">
        <v>32</v>
      </c>
      <c r="E1605" s="27">
        <f>0.06*7000/0.6</f>
        <v>700</v>
      </c>
      <c r="F1605" s="5">
        <f>IFERROR(VLOOKUP(D1605, Sheet2!$A:$C, 3, FALSE), 0)</f>
        <v>4363.6363636363631</v>
      </c>
      <c r="G1605" s="6">
        <f t="shared" si="25"/>
        <v>3054545.4545454541</v>
      </c>
    </row>
    <row r="1606" spans="1:7" ht="17.25" x14ac:dyDescent="0.3">
      <c r="A1606" s="22" t="s">
        <v>333</v>
      </c>
      <c r="B1606" s="22" t="s">
        <v>63</v>
      </c>
      <c r="C1606" s="4" t="s">
        <v>215</v>
      </c>
      <c r="D1606" s="3" t="s">
        <v>264</v>
      </c>
      <c r="E1606" s="27">
        <f>0.07*7500+0.1*7500</f>
        <v>1275</v>
      </c>
      <c r="F1606" s="5">
        <f>IFERROR(VLOOKUP(D1606, Sheet2!$A:$C, 3, FALSE), 0)</f>
        <v>4454.545454545454</v>
      </c>
      <c r="G1606" s="6">
        <f t="shared" si="25"/>
        <v>5679545.4545454541</v>
      </c>
    </row>
    <row r="1607" spans="1:7" ht="17.25" x14ac:dyDescent="0.3">
      <c r="A1607" s="23" t="s">
        <v>333</v>
      </c>
      <c r="B1607" s="25" t="s">
        <v>33</v>
      </c>
      <c r="C1607" s="4" t="s">
        <v>341</v>
      </c>
      <c r="D1607" s="4" t="s">
        <v>110</v>
      </c>
      <c r="E1607" s="27">
        <f>(0.025*4000+0.01*4000)/0.5</f>
        <v>280</v>
      </c>
      <c r="F1607" s="5">
        <f>IFERROR(VLOOKUP(D1607, Sheet2!$A:$C, 3, FALSE), 0)</f>
        <v>2500</v>
      </c>
      <c r="G1607" s="6">
        <f t="shared" si="25"/>
        <v>700000</v>
      </c>
    </row>
    <row r="1608" spans="1:7" ht="17.25" x14ac:dyDescent="0.3">
      <c r="A1608" s="22" t="s">
        <v>333</v>
      </c>
      <c r="B1608" s="25" t="s">
        <v>33</v>
      </c>
      <c r="C1608" s="4" t="s">
        <v>341</v>
      </c>
      <c r="D1608" s="4" t="s">
        <v>68</v>
      </c>
      <c r="E1608" s="27">
        <f>0.02*4000/3</f>
        <v>26.666666666666668</v>
      </c>
      <c r="F1608" s="5">
        <f>IFERROR(VLOOKUP(D1608, Sheet2!$A:$C, 3, FALSE), 0)</f>
        <v>13400</v>
      </c>
      <c r="G1608" s="6">
        <f t="shared" si="25"/>
        <v>357333.33333333337</v>
      </c>
    </row>
    <row r="1609" spans="1:7" ht="17.25" x14ac:dyDescent="0.3">
      <c r="A1609" s="22" t="s">
        <v>334</v>
      </c>
      <c r="B1609" s="22" t="s">
        <v>103</v>
      </c>
      <c r="C1609" s="4" t="s">
        <v>338</v>
      </c>
      <c r="D1609" s="3" t="s">
        <v>36</v>
      </c>
      <c r="E1609" s="27">
        <v>608</v>
      </c>
      <c r="F1609" s="5">
        <f>IFERROR(VLOOKUP(D1609, Sheet2!$A:$C, 3, FALSE), 0)</f>
        <v>7899.9999999999991</v>
      </c>
      <c r="G1609" s="6">
        <f t="shared" si="25"/>
        <v>4803199.9999999991</v>
      </c>
    </row>
    <row r="1610" spans="1:7" ht="17.25" x14ac:dyDescent="0.3">
      <c r="A1610" s="22" t="s">
        <v>334</v>
      </c>
      <c r="B1610" s="22" t="s">
        <v>46</v>
      </c>
      <c r="C1610" s="4" t="s">
        <v>342</v>
      </c>
      <c r="D1610" s="11" t="s">
        <v>35</v>
      </c>
      <c r="E1610" s="30">
        <v>195</v>
      </c>
      <c r="F1610" s="5">
        <f>IFERROR(VLOOKUP(D1610, Sheet2!$A:$C, 3, FALSE), 0)</f>
        <v>8363.6363636363621</v>
      </c>
      <c r="G1610" s="6">
        <f t="shared" si="25"/>
        <v>1630909.0909090906</v>
      </c>
    </row>
    <row r="1611" spans="1:7" ht="17.25" x14ac:dyDescent="0.3">
      <c r="A1611" s="22" t="s">
        <v>334</v>
      </c>
      <c r="B1611" s="22" t="s">
        <v>69</v>
      </c>
      <c r="C1611" s="4" t="s">
        <v>337</v>
      </c>
      <c r="D1611" s="3" t="s">
        <v>6</v>
      </c>
      <c r="E1611" s="27">
        <f>0.18*10000</f>
        <v>1800</v>
      </c>
      <c r="F1611" s="5">
        <f>IFERROR(VLOOKUP(D1611, Sheet2!$A:$C, 3, FALSE), 0)</f>
        <v>14999.999999999998</v>
      </c>
      <c r="G1611" s="6">
        <f t="shared" si="25"/>
        <v>26999999.999999996</v>
      </c>
    </row>
    <row r="1612" spans="1:7" ht="17.25" x14ac:dyDescent="0.3">
      <c r="A1612" s="23" t="s">
        <v>334</v>
      </c>
      <c r="B1612" s="22" t="s">
        <v>69</v>
      </c>
      <c r="C1612" s="4" t="s">
        <v>344</v>
      </c>
      <c r="D1612" s="11" t="s">
        <v>22</v>
      </c>
      <c r="E1612" s="27">
        <f>0.02*10000</f>
        <v>200</v>
      </c>
      <c r="F1612" s="5">
        <f>IFERROR(VLOOKUP(D1612, Sheet2!$A:$C, 3, FALSE), 0)</f>
        <v>5999.9999999999991</v>
      </c>
      <c r="G1612" s="6">
        <f t="shared" si="25"/>
        <v>1199999.9999999998</v>
      </c>
    </row>
    <row r="1613" spans="1:7" ht="17.25" x14ac:dyDescent="0.3">
      <c r="A1613" s="22" t="s">
        <v>334</v>
      </c>
      <c r="B1613" s="22" t="s">
        <v>69</v>
      </c>
      <c r="C1613" s="4" t="s">
        <v>341</v>
      </c>
      <c r="D1613" s="4" t="s">
        <v>68</v>
      </c>
      <c r="E1613" s="27">
        <f>0.03*10000/3</f>
        <v>100</v>
      </c>
      <c r="F1613" s="5">
        <f>IFERROR(VLOOKUP(D1613, Sheet2!$A:$C, 3, FALSE), 0)</f>
        <v>13400</v>
      </c>
      <c r="G1613" s="6">
        <f t="shared" si="25"/>
        <v>1340000</v>
      </c>
    </row>
    <row r="1614" spans="1:7" ht="17.25" x14ac:dyDescent="0.3">
      <c r="A1614" s="23" t="s">
        <v>334</v>
      </c>
      <c r="B1614" s="22" t="s">
        <v>150</v>
      </c>
      <c r="C1614" s="4" t="s">
        <v>344</v>
      </c>
      <c r="D1614" s="3" t="s">
        <v>39</v>
      </c>
      <c r="E1614" s="27">
        <v>270</v>
      </c>
      <c r="F1614" s="5">
        <f>IFERROR(VLOOKUP(D1614, Sheet2!$A:$C, 3, FALSE), 0)</f>
        <v>3863.6363636363635</v>
      </c>
      <c r="G1614" s="6">
        <f t="shared" si="25"/>
        <v>1043181.8181818181</v>
      </c>
    </row>
    <row r="1615" spans="1:7" ht="17.25" x14ac:dyDescent="0.3">
      <c r="A1615" s="22" t="s">
        <v>334</v>
      </c>
      <c r="B1615" s="22" t="s">
        <v>23</v>
      </c>
      <c r="C1615" s="4" t="s">
        <v>338</v>
      </c>
      <c r="D1615" s="3" t="s">
        <v>36</v>
      </c>
      <c r="E1615" s="27">
        <f>0.07*4000/0.9</f>
        <v>311.11111111111109</v>
      </c>
      <c r="F1615" s="5">
        <f>IFERROR(VLOOKUP(D1615, Sheet2!$A:$C, 3, FALSE), 0)</f>
        <v>7899.9999999999991</v>
      </c>
      <c r="G1615" s="6">
        <f t="shared" si="25"/>
        <v>2457777.7777777775</v>
      </c>
    </row>
    <row r="1616" spans="1:7" ht="17.25" x14ac:dyDescent="0.3">
      <c r="A1616" s="23" t="s">
        <v>334</v>
      </c>
      <c r="B1616" s="22" t="s">
        <v>29</v>
      </c>
      <c r="C1616" s="4" t="s">
        <v>338</v>
      </c>
      <c r="D1616" s="3" t="s">
        <v>54</v>
      </c>
      <c r="E1616" s="27">
        <f>0.08*5500/0.78</f>
        <v>564.10256410256409</v>
      </c>
      <c r="F1616" s="5">
        <f>IFERROR(VLOOKUP(D1616, Sheet2!$A:$C, 3, FALSE), 0)</f>
        <v>7899.9999999999991</v>
      </c>
      <c r="G1616" s="6">
        <f t="shared" ref="G1616:G1640" si="26">E1616*F1616</f>
        <v>4456410.256410256</v>
      </c>
    </row>
    <row r="1617" spans="1:7" ht="17.25" x14ac:dyDescent="0.3">
      <c r="A1617" s="22" t="s">
        <v>334</v>
      </c>
      <c r="B1617" s="22" t="s">
        <v>11</v>
      </c>
      <c r="C1617" s="4" t="s">
        <v>337</v>
      </c>
      <c r="D1617" s="3" t="s">
        <v>182</v>
      </c>
      <c r="E1617" s="27">
        <v>126</v>
      </c>
      <c r="F1617" s="5">
        <f>IFERROR(VLOOKUP(D1617, Sheet2!$A:$C, 3, FALSE), 0)</f>
        <v>17800</v>
      </c>
      <c r="G1617" s="6">
        <f t="shared" si="26"/>
        <v>2242800</v>
      </c>
    </row>
    <row r="1618" spans="1:7" ht="17.25" x14ac:dyDescent="0.3">
      <c r="A1618" s="22" t="s">
        <v>334</v>
      </c>
      <c r="B1618" s="22" t="s">
        <v>27</v>
      </c>
      <c r="C1618" s="4" t="s">
        <v>338</v>
      </c>
      <c r="D1618" s="3" t="s">
        <v>54</v>
      </c>
      <c r="E1618" s="27">
        <f>560/0.78</f>
        <v>717.9487179487179</v>
      </c>
      <c r="F1618" s="5">
        <f>IFERROR(VLOOKUP(D1618, Sheet2!$A:$C, 3, FALSE), 0)</f>
        <v>7899.9999999999991</v>
      </c>
      <c r="G1618" s="6">
        <f t="shared" si="26"/>
        <v>5671794.8717948711</v>
      </c>
    </row>
    <row r="1619" spans="1:7" ht="17.25" x14ac:dyDescent="0.3">
      <c r="A1619" s="22" t="s">
        <v>334</v>
      </c>
      <c r="B1619" s="22" t="s">
        <v>41</v>
      </c>
      <c r="C1619" s="4" t="s">
        <v>342</v>
      </c>
      <c r="D1619" s="3" t="s">
        <v>61</v>
      </c>
      <c r="E1619" s="27">
        <f>0.08*7000</f>
        <v>560</v>
      </c>
      <c r="F1619" s="5">
        <f>IFERROR(VLOOKUP(D1619, Sheet2!$A:$C, 3, FALSE), 0)</f>
        <v>7363.6363636363631</v>
      </c>
      <c r="G1619" s="6">
        <f t="shared" si="26"/>
        <v>4123636.3636363633</v>
      </c>
    </row>
    <row r="1620" spans="1:7" ht="17.25" x14ac:dyDescent="0.3">
      <c r="A1620" s="22" t="s">
        <v>334</v>
      </c>
      <c r="B1620" s="25" t="s">
        <v>41</v>
      </c>
      <c r="C1620" s="4" t="s">
        <v>344</v>
      </c>
      <c r="D1620" s="4" t="s">
        <v>39</v>
      </c>
      <c r="E1620" s="28">
        <f>0.015*7000</f>
        <v>105</v>
      </c>
      <c r="F1620" s="5">
        <f>IFERROR(VLOOKUP(D1620, Sheet2!$A:$C, 3, FALSE), 0)</f>
        <v>3863.6363636363635</v>
      </c>
      <c r="G1620" s="6">
        <f t="shared" si="26"/>
        <v>405681.81818181818</v>
      </c>
    </row>
    <row r="1621" spans="1:7" ht="17.25" x14ac:dyDescent="0.3">
      <c r="A1621" s="22" t="s">
        <v>334</v>
      </c>
      <c r="B1621" s="22" t="s">
        <v>30</v>
      </c>
      <c r="C1621" s="4" t="s">
        <v>337</v>
      </c>
      <c r="D1621" s="11" t="s">
        <v>12</v>
      </c>
      <c r="E1621" s="27">
        <v>416</v>
      </c>
      <c r="F1621" s="5">
        <f>IFERROR(VLOOKUP(D1621, Sheet2!$A:$C, 3, FALSE), 0)</f>
        <v>26363.63636363636</v>
      </c>
      <c r="G1621" s="6">
        <f t="shared" si="26"/>
        <v>10967272.727272727</v>
      </c>
    </row>
    <row r="1622" spans="1:7" ht="17.25" x14ac:dyDescent="0.3">
      <c r="A1622" s="23" t="s">
        <v>334</v>
      </c>
      <c r="B1622" s="22" t="s">
        <v>30</v>
      </c>
      <c r="C1622" s="4" t="s">
        <v>344</v>
      </c>
      <c r="D1622" s="3" t="s">
        <v>44</v>
      </c>
      <c r="E1622" s="27">
        <v>260</v>
      </c>
      <c r="F1622" s="5">
        <f>IFERROR(VLOOKUP(D1622, Sheet2!$A:$C, 3, FALSE), 0)</f>
        <v>5909.090909090909</v>
      </c>
      <c r="G1622" s="6">
        <f t="shared" si="26"/>
        <v>1536363.6363636362</v>
      </c>
    </row>
    <row r="1623" spans="1:7" ht="17.25" x14ac:dyDescent="0.3">
      <c r="A1623" s="22" t="s">
        <v>334</v>
      </c>
      <c r="B1623" s="25" t="s">
        <v>33</v>
      </c>
      <c r="C1623" s="4" t="s">
        <v>337</v>
      </c>
      <c r="D1623" s="3" t="s">
        <v>12</v>
      </c>
      <c r="E1623" s="27">
        <f>0.16*4000/2</f>
        <v>320</v>
      </c>
      <c r="F1623" s="5">
        <f>IFERROR(VLOOKUP(D1623, Sheet2!$A:$C, 3, FALSE), 0)</f>
        <v>26363.63636363636</v>
      </c>
      <c r="G1623" s="6">
        <f t="shared" si="26"/>
        <v>8436363.6363636348</v>
      </c>
    </row>
    <row r="1624" spans="1:7" ht="17.25" x14ac:dyDescent="0.3">
      <c r="A1624" s="23" t="s">
        <v>334</v>
      </c>
      <c r="B1624" s="25" t="s">
        <v>33</v>
      </c>
      <c r="C1624" s="4" t="s">
        <v>344</v>
      </c>
      <c r="D1624" s="3" t="s">
        <v>44</v>
      </c>
      <c r="E1624" s="27">
        <f>0.05*4000</f>
        <v>200</v>
      </c>
      <c r="F1624" s="5">
        <f>IFERROR(VLOOKUP(D1624, Sheet2!$A:$C, 3, FALSE), 0)</f>
        <v>5909.090909090909</v>
      </c>
      <c r="G1624" s="6">
        <f t="shared" si="26"/>
        <v>1181818.1818181819</v>
      </c>
    </row>
    <row r="1625" spans="1:7" ht="17.25" x14ac:dyDescent="0.3">
      <c r="A1625" s="22" t="s">
        <v>334</v>
      </c>
      <c r="B1625" s="22" t="s">
        <v>51</v>
      </c>
      <c r="C1625" s="4" t="s">
        <v>344</v>
      </c>
      <c r="D1625" s="9" t="s">
        <v>53</v>
      </c>
      <c r="E1625" s="28">
        <v>580</v>
      </c>
      <c r="F1625" s="5">
        <f>IFERROR(VLOOKUP(D1625, Sheet2!$A:$C, 3, FALSE), 0)</f>
        <v>5818.181818181818</v>
      </c>
      <c r="G1625" s="6">
        <f t="shared" si="26"/>
        <v>3374545.4545454546</v>
      </c>
    </row>
    <row r="1626" spans="1:7" ht="17.25" x14ac:dyDescent="0.3">
      <c r="A1626" s="23" t="s">
        <v>335</v>
      </c>
      <c r="B1626" s="25" t="s">
        <v>93</v>
      </c>
      <c r="C1626" s="4" t="s">
        <v>215</v>
      </c>
      <c r="D1626" s="3" t="s">
        <v>264</v>
      </c>
      <c r="E1626" s="28">
        <v>1020</v>
      </c>
      <c r="F1626" s="5">
        <f>IFERROR(VLOOKUP(D1626, Sheet2!$A:$C, 3, FALSE), 0)</f>
        <v>4454.545454545454</v>
      </c>
      <c r="G1626" s="6">
        <f t="shared" si="26"/>
        <v>4543636.3636363633</v>
      </c>
    </row>
    <row r="1627" spans="1:7" ht="17.25" x14ac:dyDescent="0.3">
      <c r="A1627" s="23" t="s">
        <v>335</v>
      </c>
      <c r="B1627" s="25" t="s">
        <v>93</v>
      </c>
      <c r="C1627" s="4" t="s">
        <v>344</v>
      </c>
      <c r="D1627" s="3" t="s">
        <v>53</v>
      </c>
      <c r="E1627" s="27">
        <f>800/0.8</f>
        <v>1000</v>
      </c>
      <c r="F1627" s="5">
        <f>IFERROR(VLOOKUP(D1627, Sheet2!$A:$C, 3, FALSE), 0)</f>
        <v>5818.181818181818</v>
      </c>
      <c r="G1627" s="6">
        <f t="shared" si="26"/>
        <v>5818181.8181818184</v>
      </c>
    </row>
    <row r="1628" spans="1:7" ht="17.25" x14ac:dyDescent="0.3">
      <c r="A1628" s="23" t="s">
        <v>335</v>
      </c>
      <c r="B1628" s="22" t="s">
        <v>24</v>
      </c>
      <c r="C1628" s="4" t="s">
        <v>337</v>
      </c>
      <c r="D1628" s="3" t="s">
        <v>9</v>
      </c>
      <c r="E1628" s="27">
        <v>1084</v>
      </c>
      <c r="F1628" s="5">
        <f>IFERROR(VLOOKUP(D1628, Sheet2!$A:$C, 3, FALSE), 0)</f>
        <v>18636.363636363636</v>
      </c>
      <c r="G1628" s="6">
        <f t="shared" si="26"/>
        <v>20201818.18181818</v>
      </c>
    </row>
    <row r="1629" spans="1:7" ht="17.25" x14ac:dyDescent="0.3">
      <c r="A1629" s="23" t="s">
        <v>335</v>
      </c>
      <c r="B1629" s="22" t="s">
        <v>24</v>
      </c>
      <c r="C1629" s="4" t="s">
        <v>338</v>
      </c>
      <c r="D1629" s="3" t="s">
        <v>73</v>
      </c>
      <c r="E1629" s="27">
        <f>216/0.78</f>
        <v>276.92307692307691</v>
      </c>
      <c r="F1629" s="5">
        <f>IFERROR(VLOOKUP(D1629, Sheet2!$A:$C, 3, FALSE), 0)</f>
        <v>7899.9999999999991</v>
      </c>
      <c r="G1629" s="6">
        <f t="shared" si="26"/>
        <v>2187692.3076923075</v>
      </c>
    </row>
    <row r="1630" spans="1:7" ht="17.25" x14ac:dyDescent="0.3">
      <c r="A1630" s="23" t="s">
        <v>335</v>
      </c>
      <c r="B1630" s="22" t="s">
        <v>23</v>
      </c>
      <c r="C1630" s="4" t="s">
        <v>215</v>
      </c>
      <c r="D1630" s="3" t="s">
        <v>264</v>
      </c>
      <c r="E1630" s="27">
        <f>0.12*4000</f>
        <v>480</v>
      </c>
      <c r="F1630" s="5">
        <f>IFERROR(VLOOKUP(D1630, Sheet2!$A:$C, 3, FALSE), 0)</f>
        <v>4454.545454545454</v>
      </c>
      <c r="G1630" s="6">
        <f t="shared" si="26"/>
        <v>2138181.8181818179</v>
      </c>
    </row>
    <row r="1631" spans="1:7" ht="17.25" x14ac:dyDescent="0.3">
      <c r="A1631" s="23" t="s">
        <v>335</v>
      </c>
      <c r="B1631" s="22" t="s">
        <v>23</v>
      </c>
      <c r="C1631" s="4" t="s">
        <v>215</v>
      </c>
      <c r="D1631" s="3" t="s">
        <v>264</v>
      </c>
      <c r="E1631" s="27">
        <f>0.12*4000</f>
        <v>480</v>
      </c>
      <c r="F1631" s="5">
        <f>IFERROR(VLOOKUP(D1631, Sheet2!$A:$C, 3, FALSE), 0)</f>
        <v>4454.545454545454</v>
      </c>
      <c r="G1631" s="6">
        <f t="shared" si="26"/>
        <v>2138181.8181818179</v>
      </c>
    </row>
    <row r="1632" spans="1:7" ht="17.25" x14ac:dyDescent="0.3">
      <c r="A1632" s="22" t="s">
        <v>335</v>
      </c>
      <c r="B1632" s="22" t="s">
        <v>75</v>
      </c>
      <c r="C1632" s="4" t="s">
        <v>215</v>
      </c>
      <c r="D1632" s="3" t="s">
        <v>264</v>
      </c>
      <c r="E1632" s="27">
        <f>0.06*7000</f>
        <v>420</v>
      </c>
      <c r="F1632" s="5">
        <f>IFERROR(VLOOKUP(D1632, Sheet2!$A:$C, 3, FALSE), 0)</f>
        <v>4454.545454545454</v>
      </c>
      <c r="G1632" s="6">
        <f t="shared" si="26"/>
        <v>1870909.0909090906</v>
      </c>
    </row>
    <row r="1633" spans="1:7" ht="17.25" x14ac:dyDescent="0.3">
      <c r="A1633" s="22" t="s">
        <v>335</v>
      </c>
      <c r="B1633" s="22" t="s">
        <v>60</v>
      </c>
      <c r="C1633" s="4" t="s">
        <v>342</v>
      </c>
      <c r="D1633" s="3" t="s">
        <v>35</v>
      </c>
      <c r="E1633" s="27">
        <v>130</v>
      </c>
      <c r="F1633" s="5">
        <f>IFERROR(VLOOKUP(D1633, Sheet2!$A:$C, 3, FALSE), 0)</f>
        <v>8363.6363636363621</v>
      </c>
      <c r="G1633" s="6">
        <f t="shared" si="26"/>
        <v>1087272.7272727271</v>
      </c>
    </row>
    <row r="1634" spans="1:7" ht="17.25" x14ac:dyDescent="0.3">
      <c r="A1634" s="23" t="s">
        <v>336</v>
      </c>
      <c r="B1634" s="25" t="s">
        <v>66</v>
      </c>
      <c r="C1634" s="4" t="s">
        <v>215</v>
      </c>
      <c r="D1634" s="3" t="s">
        <v>143</v>
      </c>
      <c r="E1634" s="27">
        <f>1950/3</f>
        <v>650</v>
      </c>
      <c r="F1634" s="5">
        <f>IFERROR(VLOOKUP(D1634, Sheet2!$A:$C, 3, FALSE), 0)</f>
        <v>15454.545454545454</v>
      </c>
      <c r="G1634" s="6">
        <f t="shared" si="26"/>
        <v>10045454.545454545</v>
      </c>
    </row>
    <row r="1635" spans="1:7" ht="17.25" x14ac:dyDescent="0.3">
      <c r="A1635" s="23" t="s">
        <v>336</v>
      </c>
      <c r="B1635" s="22" t="s">
        <v>69</v>
      </c>
      <c r="C1635" s="4" t="s">
        <v>341</v>
      </c>
      <c r="D1635" s="4" t="s">
        <v>68</v>
      </c>
      <c r="E1635" s="27">
        <f>0.03*10000/3</f>
        <v>100</v>
      </c>
      <c r="F1635" s="5">
        <f>IFERROR(VLOOKUP(D1635, Sheet2!$A:$C, 3, FALSE), 0)</f>
        <v>13400</v>
      </c>
      <c r="G1635" s="6">
        <f t="shared" si="26"/>
        <v>1340000</v>
      </c>
    </row>
    <row r="1636" spans="1:7" ht="17.25" x14ac:dyDescent="0.3">
      <c r="A1636" s="22" t="s">
        <v>336</v>
      </c>
      <c r="B1636" s="22" t="s">
        <v>25</v>
      </c>
      <c r="C1636" s="4" t="s">
        <v>337</v>
      </c>
      <c r="D1636" s="11" t="s">
        <v>70</v>
      </c>
      <c r="E1636" s="27">
        <f>0.14*9300</f>
        <v>1302.0000000000002</v>
      </c>
      <c r="F1636" s="5">
        <f>IFERROR(VLOOKUP(D1636, Sheet2!$A:$C, 3, FALSE), 0)</f>
        <v>18636.363636363636</v>
      </c>
      <c r="G1636" s="6">
        <f t="shared" si="26"/>
        <v>24264545.454545457</v>
      </c>
    </row>
    <row r="1637" spans="1:7" ht="17.25" x14ac:dyDescent="0.3">
      <c r="A1637" s="22" t="s">
        <v>336</v>
      </c>
      <c r="B1637" s="22" t="s">
        <v>150</v>
      </c>
      <c r="C1637" s="4" t="s">
        <v>344</v>
      </c>
      <c r="D1637" s="3" t="s">
        <v>53</v>
      </c>
      <c r="E1637" s="27">
        <f>480/0.8</f>
        <v>600</v>
      </c>
      <c r="F1637" s="5">
        <f>IFERROR(VLOOKUP(D1637, Sheet2!$A:$C, 3, FALSE), 0)</f>
        <v>5818.181818181818</v>
      </c>
      <c r="G1637" s="6">
        <f t="shared" si="26"/>
        <v>3490909.0909090908</v>
      </c>
    </row>
    <row r="1638" spans="1:7" ht="17.25" x14ac:dyDescent="0.3">
      <c r="A1638" s="22" t="s">
        <v>336</v>
      </c>
      <c r="B1638" s="22" t="s">
        <v>150</v>
      </c>
      <c r="C1638" s="4" t="s">
        <v>344</v>
      </c>
      <c r="D1638" s="3" t="s">
        <v>39</v>
      </c>
      <c r="E1638" s="27">
        <v>120</v>
      </c>
      <c r="F1638" s="5">
        <f>IFERROR(VLOOKUP(D1638, Sheet2!$A:$C, 3, FALSE), 0)</f>
        <v>3863.6363636363635</v>
      </c>
      <c r="G1638" s="6">
        <f t="shared" si="26"/>
        <v>463636.36363636365</v>
      </c>
    </row>
    <row r="1639" spans="1:7" ht="17.25" x14ac:dyDescent="0.3">
      <c r="A1639" s="23" t="s">
        <v>336</v>
      </c>
      <c r="B1639" s="22" t="s">
        <v>23</v>
      </c>
      <c r="C1639" s="4" t="s">
        <v>215</v>
      </c>
      <c r="D1639" s="3" t="s">
        <v>264</v>
      </c>
      <c r="E1639" s="27">
        <f>0.12*4000</f>
        <v>480</v>
      </c>
      <c r="F1639" s="5">
        <f>IFERROR(VLOOKUP(D1639, Sheet2!$A:$C, 3, FALSE), 0)</f>
        <v>4454.545454545454</v>
      </c>
      <c r="G1639" s="6">
        <f t="shared" si="26"/>
        <v>2138181.8181818179</v>
      </c>
    </row>
    <row r="1640" spans="1:7" ht="17.25" x14ac:dyDescent="0.3">
      <c r="A1640" s="22" t="s">
        <v>336</v>
      </c>
      <c r="B1640" s="22" t="s">
        <v>102</v>
      </c>
      <c r="C1640" s="4" t="s">
        <v>215</v>
      </c>
      <c r="D1640" s="3" t="s">
        <v>264</v>
      </c>
      <c r="E1640" s="27">
        <f>0.12*3000</f>
        <v>360</v>
      </c>
      <c r="F1640" s="5">
        <f>IFERROR(VLOOKUP(D1640, Sheet2!$A:$C, 3, FALSE), 0)</f>
        <v>4454.545454545454</v>
      </c>
      <c r="G1640" s="6">
        <f t="shared" si="26"/>
        <v>1603636.3636363635</v>
      </c>
    </row>
    <row r="1641" spans="1:7" ht="17.25" x14ac:dyDescent="0.3">
      <c r="A1641" s="23" t="s">
        <v>336</v>
      </c>
      <c r="B1641" s="22" t="s">
        <v>102</v>
      </c>
      <c r="C1641" s="4" t="s">
        <v>344</v>
      </c>
      <c r="D1641" s="3" t="s">
        <v>53</v>
      </c>
      <c r="E1641" s="27">
        <f>0.08*3000/0.8</f>
        <v>300</v>
      </c>
      <c r="F1641" s="5">
        <f>IFERROR(VLOOKUP(D1641, Sheet2!$A:$C, 3, FALSE), 0)</f>
        <v>5818.181818181818</v>
      </c>
      <c r="G1641" s="6">
        <f t="shared" ref="G1641:G1646" si="27">E1641*F1641</f>
        <v>1745454.5454545454</v>
      </c>
    </row>
    <row r="1642" spans="1:7" ht="17.25" x14ac:dyDescent="0.3">
      <c r="A1642" s="23" t="s">
        <v>336</v>
      </c>
      <c r="B1642" s="22" t="s">
        <v>16</v>
      </c>
      <c r="C1642" s="4" t="s">
        <v>342</v>
      </c>
      <c r="D1642" s="3" t="s">
        <v>35</v>
      </c>
      <c r="E1642" s="27">
        <f>0.05*13000</f>
        <v>650</v>
      </c>
      <c r="F1642" s="5">
        <f>IFERROR(VLOOKUP(D1642, Sheet2!$A:$C, 3, FALSE), 0)</f>
        <v>8363.6363636363621</v>
      </c>
      <c r="G1642" s="6">
        <f t="shared" si="27"/>
        <v>5436363.6363636358</v>
      </c>
    </row>
    <row r="1643" spans="1:7" ht="17.25" x14ac:dyDescent="0.3">
      <c r="A1643" s="22" t="s">
        <v>336</v>
      </c>
      <c r="B1643" s="22" t="s">
        <v>11</v>
      </c>
      <c r="C1643" s="4" t="s">
        <v>344</v>
      </c>
      <c r="D1643" s="11" t="s">
        <v>120</v>
      </c>
      <c r="E1643" s="27">
        <f>0.055*9000</f>
        <v>495</v>
      </c>
      <c r="F1643" s="5">
        <f>IFERROR(VLOOKUP(D1643, Sheet2!$A:$C, 3, FALSE), 0)</f>
        <v>6272.7272727272721</v>
      </c>
      <c r="G1643" s="6">
        <f t="shared" si="27"/>
        <v>3104999.9999999995</v>
      </c>
    </row>
    <row r="1644" spans="1:7" ht="17.25" x14ac:dyDescent="0.3">
      <c r="A1644" s="23" t="s">
        <v>336</v>
      </c>
      <c r="B1644" s="25" t="s">
        <v>33</v>
      </c>
      <c r="C1644" s="4" t="s">
        <v>341</v>
      </c>
      <c r="D1644" s="4" t="s">
        <v>110</v>
      </c>
      <c r="E1644" s="27">
        <f>(0.01*4000+0.01*4000)/0.5</f>
        <v>160</v>
      </c>
      <c r="F1644" s="5">
        <f>IFERROR(VLOOKUP(D1644, Sheet2!$A:$C, 3, FALSE), 0)</f>
        <v>2500</v>
      </c>
      <c r="G1644" s="6">
        <f t="shared" si="27"/>
        <v>400000</v>
      </c>
    </row>
    <row r="1645" spans="1:7" ht="17.25" x14ac:dyDescent="0.3">
      <c r="A1645" s="22" t="s">
        <v>336</v>
      </c>
      <c r="B1645" s="25" t="s">
        <v>33</v>
      </c>
      <c r="C1645" s="4" t="s">
        <v>341</v>
      </c>
      <c r="D1645" s="4" t="s">
        <v>68</v>
      </c>
      <c r="E1645" s="27">
        <f>0.115*4000/3</f>
        <v>153.33333333333334</v>
      </c>
      <c r="F1645" s="5">
        <f>IFERROR(VLOOKUP(D1645, Sheet2!$A:$C, 3, FALSE), 0)</f>
        <v>13400</v>
      </c>
      <c r="G1645" s="6">
        <f t="shared" si="27"/>
        <v>2054666.6666666667</v>
      </c>
    </row>
    <row r="1646" spans="1:7" ht="17.25" x14ac:dyDescent="0.3">
      <c r="A1646" s="23" t="s">
        <v>336</v>
      </c>
      <c r="B1646" s="22" t="s">
        <v>95</v>
      </c>
      <c r="C1646" s="4" t="s">
        <v>344</v>
      </c>
      <c r="D1646" s="3" t="s">
        <v>53</v>
      </c>
      <c r="E1646" s="27">
        <f>480/0.8</f>
        <v>600</v>
      </c>
      <c r="F1646" s="5">
        <f>IFERROR(VLOOKUP(D1646, Sheet2!$A:$C, 3, FALSE), 0)</f>
        <v>5818.181818181818</v>
      </c>
      <c r="G1646" s="6">
        <f t="shared" si="27"/>
        <v>3490909.0909090908</v>
      </c>
    </row>
  </sheetData>
  <autoFilter ref="A1:G1646" xr:uid="{551472A1-8D82-4275-9821-D600A4328DBF}"/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405C6-A1D8-4396-9830-0933F60A7B2B}">
  <dimension ref="A1:C128"/>
  <sheetViews>
    <sheetView topLeftCell="A87" workbookViewId="0">
      <selection activeCell="A2" sqref="A2:A117"/>
    </sheetView>
  </sheetViews>
  <sheetFormatPr defaultRowHeight="16.5" x14ac:dyDescent="0.3"/>
  <cols>
    <col min="1" max="1" width="22.875" bestFit="1" customWidth="1"/>
    <col min="2" max="2" width="11.875" bestFit="1" customWidth="1"/>
  </cols>
  <sheetData>
    <row r="1" spans="1:3" x14ac:dyDescent="0.3">
      <c r="A1" s="18" t="s">
        <v>193</v>
      </c>
      <c r="B1" s="18" t="s">
        <v>193</v>
      </c>
      <c r="C1" s="17" t="s">
        <v>193</v>
      </c>
    </row>
    <row r="2" spans="1:3" ht="17.25" x14ac:dyDescent="0.3">
      <c r="A2" s="12" t="s">
        <v>194</v>
      </c>
      <c r="B2" s="20">
        <v>6500</v>
      </c>
      <c r="C2" s="13">
        <f>B2/1.1</f>
        <v>5909.090909090909</v>
      </c>
    </row>
    <row r="3" spans="1:3" ht="17.25" x14ac:dyDescent="0.3">
      <c r="A3" s="12" t="s">
        <v>195</v>
      </c>
      <c r="B3" s="20">
        <v>6100</v>
      </c>
      <c r="C3" s="13">
        <f t="shared" ref="C3:C66" si="0">B3/1.1</f>
        <v>5545.454545454545</v>
      </c>
    </row>
    <row r="4" spans="1:3" ht="17.25" x14ac:dyDescent="0.3">
      <c r="A4" s="12" t="s">
        <v>163</v>
      </c>
      <c r="B4" s="20">
        <v>6490</v>
      </c>
      <c r="C4" s="13">
        <f t="shared" si="0"/>
        <v>5899.9999999999991</v>
      </c>
    </row>
    <row r="5" spans="1:3" ht="17.25" x14ac:dyDescent="0.3">
      <c r="A5" s="12" t="s">
        <v>40</v>
      </c>
      <c r="B5" s="20">
        <v>4800</v>
      </c>
      <c r="C5" s="13">
        <f t="shared" si="0"/>
        <v>4363.6363636363631</v>
      </c>
    </row>
    <row r="6" spans="1:3" ht="17.25" x14ac:dyDescent="0.3">
      <c r="A6" s="12" t="s">
        <v>196</v>
      </c>
      <c r="B6" s="20">
        <v>6400</v>
      </c>
      <c r="C6" s="13">
        <f t="shared" si="0"/>
        <v>5818.181818181818</v>
      </c>
    </row>
    <row r="7" spans="1:3" ht="17.25" x14ac:dyDescent="0.3">
      <c r="A7" s="12" t="s">
        <v>197</v>
      </c>
      <c r="B7" s="20">
        <v>4800</v>
      </c>
      <c r="C7" s="13">
        <f t="shared" si="0"/>
        <v>4363.6363636363631</v>
      </c>
    </row>
    <row r="8" spans="1:3" ht="17.25" x14ac:dyDescent="0.3">
      <c r="A8" s="12" t="s">
        <v>198</v>
      </c>
      <c r="B8" s="20">
        <v>6500</v>
      </c>
      <c r="C8" s="13">
        <f t="shared" si="0"/>
        <v>5909.090909090909</v>
      </c>
    </row>
    <row r="9" spans="1:3" ht="17.25" x14ac:dyDescent="0.3">
      <c r="A9" s="12" t="s">
        <v>199</v>
      </c>
      <c r="B9" s="20">
        <v>3800</v>
      </c>
      <c r="C9" s="13">
        <f t="shared" si="0"/>
        <v>3454.545454545454</v>
      </c>
    </row>
    <row r="10" spans="1:3" ht="17.25" x14ac:dyDescent="0.3">
      <c r="A10" s="12" t="s">
        <v>200</v>
      </c>
      <c r="B10" s="20">
        <v>5150</v>
      </c>
      <c r="C10" s="13">
        <f t="shared" si="0"/>
        <v>4681.8181818181811</v>
      </c>
    </row>
    <row r="11" spans="1:3" ht="17.25" x14ac:dyDescent="0.3">
      <c r="A11" s="12" t="s">
        <v>201</v>
      </c>
      <c r="B11" s="20">
        <v>5150</v>
      </c>
      <c r="C11" s="13">
        <f t="shared" si="0"/>
        <v>4681.8181818181811</v>
      </c>
    </row>
    <row r="12" spans="1:3" ht="17.25" x14ac:dyDescent="0.3">
      <c r="A12" s="14" t="s">
        <v>139</v>
      </c>
      <c r="B12" s="20">
        <v>4800</v>
      </c>
      <c r="C12" s="13">
        <f t="shared" si="0"/>
        <v>4363.6363636363631</v>
      </c>
    </row>
    <row r="13" spans="1:3" ht="17.25" x14ac:dyDescent="0.3">
      <c r="A13" s="12" t="s">
        <v>202</v>
      </c>
      <c r="B13" s="20">
        <v>21120</v>
      </c>
      <c r="C13" s="13">
        <f t="shared" si="0"/>
        <v>19200</v>
      </c>
    </row>
    <row r="14" spans="1:3" ht="17.25" x14ac:dyDescent="0.3">
      <c r="A14" s="12" t="s">
        <v>26</v>
      </c>
      <c r="B14" s="20">
        <v>23100</v>
      </c>
      <c r="C14" s="13">
        <f t="shared" si="0"/>
        <v>21000</v>
      </c>
    </row>
    <row r="15" spans="1:3" ht="17.25" x14ac:dyDescent="0.3">
      <c r="A15" s="12" t="s">
        <v>79</v>
      </c>
      <c r="B15" s="20">
        <v>23500</v>
      </c>
      <c r="C15" s="13">
        <f t="shared" si="0"/>
        <v>21363.63636363636</v>
      </c>
    </row>
    <row r="16" spans="1:3" ht="17.25" x14ac:dyDescent="0.3">
      <c r="A16" s="12" t="s">
        <v>203</v>
      </c>
      <c r="B16" s="20">
        <v>34320</v>
      </c>
      <c r="C16" s="13">
        <f t="shared" si="0"/>
        <v>31199.999999999996</v>
      </c>
    </row>
    <row r="17" spans="1:3" ht="17.25" x14ac:dyDescent="0.3">
      <c r="A17" s="12" t="s">
        <v>221</v>
      </c>
      <c r="B17" s="20">
        <v>41690</v>
      </c>
      <c r="C17" s="13">
        <f t="shared" si="0"/>
        <v>37900</v>
      </c>
    </row>
    <row r="18" spans="1:3" ht="17.25" x14ac:dyDescent="0.3">
      <c r="A18" s="12" t="s">
        <v>204</v>
      </c>
      <c r="B18" s="20">
        <v>49500</v>
      </c>
      <c r="C18" s="13">
        <f t="shared" si="0"/>
        <v>45000</v>
      </c>
    </row>
    <row r="19" spans="1:3" ht="17.25" x14ac:dyDescent="0.3">
      <c r="A19" s="12" t="s">
        <v>205</v>
      </c>
      <c r="B19" s="20">
        <v>11500</v>
      </c>
      <c r="C19" s="13">
        <f t="shared" si="0"/>
        <v>10454.545454545454</v>
      </c>
    </row>
    <row r="20" spans="1:3" ht="17.25" x14ac:dyDescent="0.3">
      <c r="A20" s="12" t="s">
        <v>206</v>
      </c>
      <c r="B20" s="20">
        <v>15400</v>
      </c>
      <c r="C20" s="13">
        <f t="shared" si="0"/>
        <v>13999.999999999998</v>
      </c>
    </row>
    <row r="21" spans="1:3" ht="17.25" x14ac:dyDescent="0.3">
      <c r="A21" s="12" t="s">
        <v>207</v>
      </c>
      <c r="B21" s="20">
        <v>15400</v>
      </c>
      <c r="C21" s="13">
        <f t="shared" si="0"/>
        <v>13999.999999999998</v>
      </c>
    </row>
    <row r="22" spans="1:3" ht="17.25" x14ac:dyDescent="0.3">
      <c r="A22" s="12" t="s">
        <v>208</v>
      </c>
      <c r="B22" s="20">
        <v>7480</v>
      </c>
      <c r="C22" s="13">
        <f t="shared" si="0"/>
        <v>6799.9999999999991</v>
      </c>
    </row>
    <row r="23" spans="1:3" ht="17.25" x14ac:dyDescent="0.3">
      <c r="A23" s="12" t="s">
        <v>222</v>
      </c>
      <c r="B23" s="20">
        <v>1500</v>
      </c>
      <c r="C23" s="13">
        <f t="shared" si="0"/>
        <v>1363.6363636363635</v>
      </c>
    </row>
    <row r="24" spans="1:3" ht="17.25" x14ac:dyDescent="0.3">
      <c r="A24" s="12" t="s">
        <v>209</v>
      </c>
      <c r="B24" s="20">
        <v>9900</v>
      </c>
      <c r="C24" s="13">
        <f t="shared" si="0"/>
        <v>9000</v>
      </c>
    </row>
    <row r="25" spans="1:3" ht="17.25" x14ac:dyDescent="0.3">
      <c r="A25" s="12" t="s">
        <v>223</v>
      </c>
      <c r="B25" s="20">
        <v>9000</v>
      </c>
      <c r="C25" s="13">
        <f t="shared" si="0"/>
        <v>8181.8181818181811</v>
      </c>
    </row>
    <row r="26" spans="1:3" ht="17.25" x14ac:dyDescent="0.3">
      <c r="A26" s="12" t="s">
        <v>210</v>
      </c>
      <c r="B26" s="20">
        <v>12100</v>
      </c>
      <c r="C26" s="13">
        <f t="shared" si="0"/>
        <v>11000</v>
      </c>
    </row>
    <row r="27" spans="1:3" ht="17.25" x14ac:dyDescent="0.3">
      <c r="A27" s="12" t="s">
        <v>224</v>
      </c>
      <c r="B27" s="20">
        <v>10100</v>
      </c>
      <c r="C27" s="13">
        <f t="shared" si="0"/>
        <v>9181.818181818182</v>
      </c>
    </row>
    <row r="28" spans="1:3" ht="17.25" x14ac:dyDescent="0.3">
      <c r="A28" s="12" t="s">
        <v>211</v>
      </c>
      <c r="B28" s="20">
        <v>11550</v>
      </c>
      <c r="C28" s="13">
        <f t="shared" si="0"/>
        <v>10500</v>
      </c>
    </row>
    <row r="29" spans="1:3" ht="17.25" x14ac:dyDescent="0.3">
      <c r="A29" s="12" t="s">
        <v>225</v>
      </c>
      <c r="B29" s="20">
        <v>9700</v>
      </c>
      <c r="C29" s="13">
        <f t="shared" si="0"/>
        <v>8818.181818181818</v>
      </c>
    </row>
    <row r="30" spans="1:3" ht="17.25" x14ac:dyDescent="0.3">
      <c r="A30" s="12" t="s">
        <v>212</v>
      </c>
      <c r="B30" s="20">
        <v>11550</v>
      </c>
      <c r="C30" s="13">
        <f t="shared" si="0"/>
        <v>10500</v>
      </c>
    </row>
    <row r="31" spans="1:3" ht="17.25" x14ac:dyDescent="0.3">
      <c r="A31" s="12" t="s">
        <v>226</v>
      </c>
      <c r="B31" s="20">
        <v>9700</v>
      </c>
      <c r="C31" s="13">
        <f t="shared" si="0"/>
        <v>8818.181818181818</v>
      </c>
    </row>
    <row r="32" spans="1:3" ht="17.25" x14ac:dyDescent="0.3">
      <c r="A32" s="12" t="s">
        <v>213</v>
      </c>
      <c r="B32" s="20">
        <v>11550</v>
      </c>
      <c r="C32" s="13">
        <f t="shared" si="0"/>
        <v>10500</v>
      </c>
    </row>
    <row r="33" spans="1:3" ht="17.25" x14ac:dyDescent="0.3">
      <c r="A33" s="12" t="s">
        <v>227</v>
      </c>
      <c r="B33" s="20">
        <v>9700</v>
      </c>
      <c r="C33" s="13">
        <f t="shared" si="0"/>
        <v>8818.181818181818</v>
      </c>
    </row>
    <row r="34" spans="1:3" ht="17.25" x14ac:dyDescent="0.3">
      <c r="A34" s="12" t="s">
        <v>214</v>
      </c>
      <c r="B34" s="20">
        <v>14300</v>
      </c>
      <c r="C34" s="13">
        <f t="shared" si="0"/>
        <v>12999.999999999998</v>
      </c>
    </row>
    <row r="35" spans="1:3" ht="17.25" x14ac:dyDescent="0.3">
      <c r="A35" s="12" t="s">
        <v>228</v>
      </c>
      <c r="B35" s="20">
        <v>11200</v>
      </c>
      <c r="C35" s="13">
        <f t="shared" si="0"/>
        <v>10181.81818181818</v>
      </c>
    </row>
    <row r="36" spans="1:3" ht="17.25" x14ac:dyDescent="0.3">
      <c r="A36" s="12" t="s">
        <v>6</v>
      </c>
      <c r="B36" s="20">
        <v>16500</v>
      </c>
      <c r="C36" s="13">
        <f t="shared" si="0"/>
        <v>14999.999999999998</v>
      </c>
    </row>
    <row r="37" spans="1:3" ht="17.25" x14ac:dyDescent="0.3">
      <c r="A37" s="12" t="s">
        <v>42</v>
      </c>
      <c r="B37" s="20">
        <v>4400</v>
      </c>
      <c r="C37" s="13">
        <f t="shared" si="0"/>
        <v>3999.9999999999995</v>
      </c>
    </row>
    <row r="38" spans="1:3" ht="17.25" x14ac:dyDescent="0.3">
      <c r="A38" s="12" t="s">
        <v>35</v>
      </c>
      <c r="B38" s="20">
        <v>9200</v>
      </c>
      <c r="C38" s="13">
        <f t="shared" si="0"/>
        <v>8363.6363636363621</v>
      </c>
    </row>
    <row r="39" spans="1:3" ht="17.25" x14ac:dyDescent="0.3">
      <c r="A39" s="12" t="s">
        <v>20</v>
      </c>
      <c r="B39" s="20">
        <v>7700</v>
      </c>
      <c r="C39" s="13">
        <f t="shared" si="0"/>
        <v>6999.9999999999991</v>
      </c>
    </row>
    <row r="40" spans="1:3" ht="17.25" x14ac:dyDescent="0.3">
      <c r="A40" s="12" t="s">
        <v>61</v>
      </c>
      <c r="B40" s="20">
        <v>8100</v>
      </c>
      <c r="C40" s="13">
        <f t="shared" si="0"/>
        <v>7363.6363636363631</v>
      </c>
    </row>
    <row r="41" spans="1:3" ht="17.25" x14ac:dyDescent="0.3">
      <c r="A41" s="12" t="s">
        <v>22</v>
      </c>
      <c r="B41" s="20">
        <v>6600</v>
      </c>
      <c r="C41" s="13">
        <f t="shared" si="0"/>
        <v>5999.9999999999991</v>
      </c>
    </row>
    <row r="42" spans="1:3" ht="17.25" x14ac:dyDescent="0.3">
      <c r="A42" s="12" t="s">
        <v>52</v>
      </c>
      <c r="B42" s="20">
        <v>6600</v>
      </c>
      <c r="C42" s="13">
        <f t="shared" si="0"/>
        <v>5999.9999999999991</v>
      </c>
    </row>
    <row r="43" spans="1:3" ht="17.25" x14ac:dyDescent="0.3">
      <c r="A43" s="12" t="s">
        <v>55</v>
      </c>
      <c r="B43" s="20">
        <v>16390</v>
      </c>
      <c r="C43" s="13">
        <f t="shared" si="0"/>
        <v>14899.999999999998</v>
      </c>
    </row>
    <row r="44" spans="1:3" ht="17.25" x14ac:dyDescent="0.3">
      <c r="A44" s="12" t="s">
        <v>78</v>
      </c>
      <c r="B44" s="20">
        <v>16500</v>
      </c>
      <c r="C44" s="13">
        <f t="shared" si="0"/>
        <v>14999.999999999998</v>
      </c>
    </row>
    <row r="45" spans="1:3" ht="17.25" x14ac:dyDescent="0.3">
      <c r="A45" s="12" t="s">
        <v>229</v>
      </c>
      <c r="B45" s="20">
        <v>16050</v>
      </c>
      <c r="C45" s="13">
        <f t="shared" si="0"/>
        <v>14590.90909090909</v>
      </c>
    </row>
    <row r="46" spans="1:3" ht="17.25" x14ac:dyDescent="0.3">
      <c r="A46" s="12" t="s">
        <v>65</v>
      </c>
      <c r="B46" s="20">
        <v>17820</v>
      </c>
      <c r="C46" s="13">
        <f t="shared" si="0"/>
        <v>16199.999999999998</v>
      </c>
    </row>
    <row r="47" spans="1:3" ht="17.25" x14ac:dyDescent="0.3">
      <c r="A47" s="12" t="s">
        <v>80</v>
      </c>
      <c r="B47" s="20">
        <v>20100</v>
      </c>
      <c r="C47" s="13">
        <f t="shared" si="0"/>
        <v>18272.727272727272</v>
      </c>
    </row>
    <row r="48" spans="1:3" ht="17.25" x14ac:dyDescent="0.3">
      <c r="A48" s="12" t="s">
        <v>45</v>
      </c>
      <c r="B48" s="20">
        <v>12000</v>
      </c>
      <c r="C48" s="13">
        <f t="shared" si="0"/>
        <v>10909.090909090908</v>
      </c>
    </row>
    <row r="49" spans="1:3" ht="17.25" x14ac:dyDescent="0.3">
      <c r="A49" s="12" t="s">
        <v>15</v>
      </c>
      <c r="B49" s="20">
        <v>4250</v>
      </c>
      <c r="C49" s="13">
        <f t="shared" si="0"/>
        <v>3863.6363636363635</v>
      </c>
    </row>
    <row r="50" spans="1:3" ht="17.25" x14ac:dyDescent="0.3">
      <c r="A50" s="12" t="s">
        <v>39</v>
      </c>
      <c r="B50" s="20">
        <v>4250</v>
      </c>
      <c r="C50" s="13">
        <f t="shared" si="0"/>
        <v>3863.6363636363635</v>
      </c>
    </row>
    <row r="51" spans="1:3" ht="17.25" x14ac:dyDescent="0.3">
      <c r="A51" s="12" t="s">
        <v>230</v>
      </c>
      <c r="B51" s="20">
        <v>43000</v>
      </c>
      <c r="C51" s="13">
        <f t="shared" si="0"/>
        <v>39090.909090909088</v>
      </c>
    </row>
    <row r="52" spans="1:3" ht="17.25" x14ac:dyDescent="0.3">
      <c r="A52" s="12" t="s">
        <v>127</v>
      </c>
      <c r="B52" s="20">
        <v>49500</v>
      </c>
      <c r="C52" s="13">
        <f t="shared" si="0"/>
        <v>45000</v>
      </c>
    </row>
    <row r="53" spans="1:3" ht="17.25" x14ac:dyDescent="0.3">
      <c r="A53" s="12" t="s">
        <v>71</v>
      </c>
      <c r="B53" s="20">
        <v>67500</v>
      </c>
      <c r="C53" s="13">
        <f t="shared" si="0"/>
        <v>61363.63636363636</v>
      </c>
    </row>
    <row r="54" spans="1:3" ht="17.25" x14ac:dyDescent="0.3">
      <c r="A54" s="12" t="s">
        <v>231</v>
      </c>
      <c r="B54" s="20">
        <v>36000</v>
      </c>
      <c r="C54" s="13">
        <f t="shared" si="0"/>
        <v>32727.272727272724</v>
      </c>
    </row>
    <row r="55" spans="1:3" ht="17.25" x14ac:dyDescent="0.3">
      <c r="A55" s="12" t="s">
        <v>188</v>
      </c>
      <c r="B55" s="20">
        <v>35000</v>
      </c>
      <c r="C55" s="13">
        <f t="shared" si="0"/>
        <v>31818.181818181816</v>
      </c>
    </row>
    <row r="56" spans="1:3" ht="17.25" x14ac:dyDescent="0.3">
      <c r="A56" s="12" t="s">
        <v>144</v>
      </c>
      <c r="B56" s="20">
        <v>11300</v>
      </c>
      <c r="C56" s="13">
        <f t="shared" si="0"/>
        <v>10272.727272727272</v>
      </c>
    </row>
    <row r="57" spans="1:3" ht="17.25" x14ac:dyDescent="0.3">
      <c r="A57" s="12" t="s">
        <v>101</v>
      </c>
      <c r="B57" s="20">
        <v>19900</v>
      </c>
      <c r="C57" s="13">
        <f t="shared" si="0"/>
        <v>18090.909090909088</v>
      </c>
    </row>
    <row r="58" spans="1:3" ht="17.25" x14ac:dyDescent="0.3">
      <c r="A58" s="12" t="s">
        <v>13</v>
      </c>
      <c r="B58" s="20">
        <v>19900</v>
      </c>
      <c r="C58" s="13">
        <f t="shared" si="0"/>
        <v>18090.909090909088</v>
      </c>
    </row>
    <row r="59" spans="1:3" ht="17.25" x14ac:dyDescent="0.3">
      <c r="A59" s="12" t="s">
        <v>9</v>
      </c>
      <c r="B59" s="20">
        <v>20500</v>
      </c>
      <c r="C59" s="13">
        <f t="shared" si="0"/>
        <v>18636.363636363636</v>
      </c>
    </row>
    <row r="60" spans="1:3" ht="17.25" x14ac:dyDescent="0.3">
      <c r="A60" s="12" t="s">
        <v>70</v>
      </c>
      <c r="B60" s="20">
        <v>20500</v>
      </c>
      <c r="C60" s="13">
        <f t="shared" si="0"/>
        <v>18636.363636363636</v>
      </c>
    </row>
    <row r="61" spans="1:3" ht="17.25" x14ac:dyDescent="0.3">
      <c r="A61" s="12" t="s">
        <v>10</v>
      </c>
      <c r="B61" s="20">
        <v>22900</v>
      </c>
      <c r="C61" s="13">
        <f t="shared" si="0"/>
        <v>20818.181818181816</v>
      </c>
    </row>
    <row r="62" spans="1:3" ht="17.25" x14ac:dyDescent="0.3">
      <c r="A62" s="12" t="s">
        <v>97</v>
      </c>
      <c r="B62" s="20">
        <v>18900</v>
      </c>
      <c r="C62" s="13">
        <f t="shared" si="0"/>
        <v>17181.81818181818</v>
      </c>
    </row>
    <row r="63" spans="1:3" ht="17.25" x14ac:dyDescent="0.3">
      <c r="A63" s="12" t="s">
        <v>67</v>
      </c>
      <c r="B63" s="20">
        <v>11900</v>
      </c>
      <c r="C63" s="13">
        <f t="shared" si="0"/>
        <v>10818.181818181818</v>
      </c>
    </row>
    <row r="64" spans="1:3" ht="17.25" x14ac:dyDescent="0.3">
      <c r="A64" s="12" t="s">
        <v>125</v>
      </c>
      <c r="B64" s="20">
        <v>19900</v>
      </c>
      <c r="C64" s="13">
        <f t="shared" si="0"/>
        <v>18090.909090909088</v>
      </c>
    </row>
    <row r="65" spans="1:3" ht="17.25" x14ac:dyDescent="0.3">
      <c r="A65" s="12" t="s">
        <v>120</v>
      </c>
      <c r="B65" s="20">
        <v>6900</v>
      </c>
      <c r="C65" s="13">
        <f t="shared" si="0"/>
        <v>6272.7272727272721</v>
      </c>
    </row>
    <row r="66" spans="1:3" ht="17.25" x14ac:dyDescent="0.3">
      <c r="A66" s="15" t="s">
        <v>180</v>
      </c>
      <c r="B66" s="20">
        <v>18600</v>
      </c>
      <c r="C66" s="13">
        <f t="shared" si="0"/>
        <v>16909.090909090908</v>
      </c>
    </row>
    <row r="67" spans="1:3" ht="17.25" x14ac:dyDescent="0.3">
      <c r="A67" s="12" t="s">
        <v>94</v>
      </c>
      <c r="B67" s="20">
        <v>15600</v>
      </c>
      <c r="C67" s="13">
        <f t="shared" ref="C67:C117" si="1">B67/1.1</f>
        <v>14181.81818181818</v>
      </c>
    </row>
    <row r="68" spans="1:3" ht="17.25" x14ac:dyDescent="0.3">
      <c r="A68" s="12" t="s">
        <v>113</v>
      </c>
      <c r="B68" s="20">
        <v>22800</v>
      </c>
      <c r="C68" s="13">
        <f t="shared" si="1"/>
        <v>20727.272727272724</v>
      </c>
    </row>
    <row r="69" spans="1:3" ht="17.25" x14ac:dyDescent="0.3">
      <c r="A69" s="12" t="s">
        <v>128</v>
      </c>
      <c r="B69" s="20">
        <v>22800</v>
      </c>
      <c r="C69" s="13">
        <f t="shared" si="1"/>
        <v>20727.272727272724</v>
      </c>
    </row>
    <row r="70" spans="1:3" ht="17.25" x14ac:dyDescent="0.3">
      <c r="A70" s="12" t="s">
        <v>12</v>
      </c>
      <c r="B70" s="20">
        <v>29000</v>
      </c>
      <c r="C70" s="13">
        <f t="shared" si="1"/>
        <v>26363.63636363636</v>
      </c>
    </row>
    <row r="71" spans="1:3" ht="17.25" x14ac:dyDescent="0.3">
      <c r="A71" s="12" t="s">
        <v>232</v>
      </c>
      <c r="B71" s="20">
        <v>27000</v>
      </c>
      <c r="C71" s="13">
        <f t="shared" si="1"/>
        <v>24545.454545454544</v>
      </c>
    </row>
    <row r="72" spans="1:3" ht="17.25" x14ac:dyDescent="0.3">
      <c r="A72" s="12" t="s">
        <v>90</v>
      </c>
      <c r="B72" s="20">
        <v>15000</v>
      </c>
      <c r="C72" s="13">
        <f t="shared" si="1"/>
        <v>13636.363636363636</v>
      </c>
    </row>
    <row r="73" spans="1:3" ht="17.25" x14ac:dyDescent="0.3">
      <c r="A73" s="12" t="s">
        <v>122</v>
      </c>
      <c r="B73" s="20">
        <v>9000</v>
      </c>
      <c r="C73" s="13">
        <f t="shared" si="1"/>
        <v>8181.8181818181811</v>
      </c>
    </row>
    <row r="74" spans="1:3" ht="17.25" x14ac:dyDescent="0.3">
      <c r="A74" s="12" t="s">
        <v>233</v>
      </c>
      <c r="B74" s="20">
        <v>12000</v>
      </c>
      <c r="C74" s="13">
        <f t="shared" si="1"/>
        <v>10909.090909090908</v>
      </c>
    </row>
    <row r="75" spans="1:3" ht="17.25" x14ac:dyDescent="0.3">
      <c r="A75" s="12" t="s">
        <v>234</v>
      </c>
      <c r="B75" s="20">
        <v>12000</v>
      </c>
      <c r="C75" s="13">
        <f t="shared" si="1"/>
        <v>10909.090909090908</v>
      </c>
    </row>
    <row r="76" spans="1:3" ht="17.25" x14ac:dyDescent="0.3">
      <c r="A76" s="12" t="s">
        <v>186</v>
      </c>
      <c r="B76" s="20">
        <v>16000</v>
      </c>
      <c r="C76" s="13">
        <f t="shared" si="1"/>
        <v>14545.454545454544</v>
      </c>
    </row>
    <row r="77" spans="1:3" ht="17.25" x14ac:dyDescent="0.3">
      <c r="A77" s="12" t="s">
        <v>64</v>
      </c>
      <c r="B77" s="20">
        <v>16000</v>
      </c>
      <c r="C77" s="13">
        <f t="shared" si="1"/>
        <v>14545.454545454544</v>
      </c>
    </row>
    <row r="78" spans="1:3" ht="17.25" x14ac:dyDescent="0.3">
      <c r="A78" s="12" t="s">
        <v>49</v>
      </c>
      <c r="B78" s="20">
        <v>41800</v>
      </c>
      <c r="C78" s="13">
        <f t="shared" si="1"/>
        <v>38000</v>
      </c>
    </row>
    <row r="79" spans="1:3" ht="17.25" x14ac:dyDescent="0.3">
      <c r="A79" s="12" t="s">
        <v>84</v>
      </c>
      <c r="B79" s="20">
        <v>2300</v>
      </c>
      <c r="C79" s="13">
        <f t="shared" si="1"/>
        <v>2090.9090909090905</v>
      </c>
    </row>
    <row r="80" spans="1:3" ht="17.25" x14ac:dyDescent="0.3">
      <c r="A80" s="12" t="s">
        <v>117</v>
      </c>
      <c r="B80" s="20">
        <v>12500</v>
      </c>
      <c r="C80" s="13">
        <f t="shared" si="1"/>
        <v>11363.636363636362</v>
      </c>
    </row>
    <row r="81" spans="1:3" ht="17.25" x14ac:dyDescent="0.3">
      <c r="A81" s="12" t="s">
        <v>189</v>
      </c>
      <c r="B81" s="20">
        <v>15000</v>
      </c>
      <c r="C81" s="13">
        <f t="shared" si="1"/>
        <v>13636.363636363636</v>
      </c>
    </row>
    <row r="82" spans="1:3" ht="17.25" x14ac:dyDescent="0.3">
      <c r="A82" s="12" t="s">
        <v>108</v>
      </c>
      <c r="B82" s="20">
        <v>13500</v>
      </c>
      <c r="C82" s="13">
        <f t="shared" si="1"/>
        <v>12272.727272727272</v>
      </c>
    </row>
    <row r="83" spans="1:3" ht="17.25" x14ac:dyDescent="0.3">
      <c r="A83" s="12" t="s">
        <v>76</v>
      </c>
      <c r="B83" s="20">
        <v>9500</v>
      </c>
      <c r="C83" s="13">
        <f t="shared" si="1"/>
        <v>8636.363636363636</v>
      </c>
    </row>
    <row r="84" spans="1:3" ht="17.25" x14ac:dyDescent="0.3">
      <c r="A84" s="12" t="s">
        <v>89</v>
      </c>
      <c r="B84" s="20">
        <v>5500</v>
      </c>
      <c r="C84" s="13">
        <f t="shared" si="1"/>
        <v>5000</v>
      </c>
    </row>
    <row r="85" spans="1:3" ht="17.25" x14ac:dyDescent="0.3">
      <c r="A85" s="12" t="s">
        <v>235</v>
      </c>
      <c r="B85" s="20">
        <v>19800</v>
      </c>
      <c r="C85" s="13">
        <f t="shared" si="1"/>
        <v>18000</v>
      </c>
    </row>
    <row r="86" spans="1:3" ht="17.25" x14ac:dyDescent="0.3">
      <c r="A86" s="12" t="s">
        <v>116</v>
      </c>
      <c r="B86" s="20">
        <v>2250</v>
      </c>
      <c r="C86" s="13">
        <f t="shared" si="1"/>
        <v>2045.4545454545453</v>
      </c>
    </row>
    <row r="87" spans="1:3" ht="17.25" x14ac:dyDescent="0.3">
      <c r="A87" s="12" t="s">
        <v>236</v>
      </c>
      <c r="B87" s="20">
        <v>20900</v>
      </c>
      <c r="C87" s="13">
        <f t="shared" si="1"/>
        <v>19000</v>
      </c>
    </row>
    <row r="88" spans="1:3" ht="17.25" x14ac:dyDescent="0.3">
      <c r="A88" s="12" t="s">
        <v>179</v>
      </c>
      <c r="B88" s="20">
        <v>2350</v>
      </c>
      <c r="C88" s="13">
        <f t="shared" si="1"/>
        <v>2136.363636363636</v>
      </c>
    </row>
    <row r="89" spans="1:3" ht="17.25" x14ac:dyDescent="0.3">
      <c r="A89" s="12" t="s">
        <v>73</v>
      </c>
      <c r="B89" s="20">
        <v>8690</v>
      </c>
      <c r="C89" s="13">
        <f t="shared" si="1"/>
        <v>7899.9999999999991</v>
      </c>
    </row>
    <row r="90" spans="1:3" ht="17.25" x14ac:dyDescent="0.3">
      <c r="A90" s="12" t="s">
        <v>54</v>
      </c>
      <c r="B90" s="20">
        <v>8690</v>
      </c>
      <c r="C90" s="13">
        <f t="shared" si="1"/>
        <v>7899.9999999999991</v>
      </c>
    </row>
    <row r="91" spans="1:3" ht="17.25" x14ac:dyDescent="0.3">
      <c r="A91" s="12" t="s">
        <v>28</v>
      </c>
      <c r="B91" s="20">
        <v>8690</v>
      </c>
      <c r="C91" s="13">
        <f t="shared" si="1"/>
        <v>7899.9999999999991</v>
      </c>
    </row>
    <row r="92" spans="1:3" ht="17.25" x14ac:dyDescent="0.3">
      <c r="A92" s="12" t="s">
        <v>36</v>
      </c>
      <c r="B92" s="20">
        <v>8690</v>
      </c>
      <c r="C92" s="13">
        <f t="shared" si="1"/>
        <v>7899.9999999999991</v>
      </c>
    </row>
    <row r="93" spans="1:3" ht="17.25" x14ac:dyDescent="0.3">
      <c r="A93" s="12" t="s">
        <v>237</v>
      </c>
      <c r="B93" s="20">
        <v>35200</v>
      </c>
      <c r="C93" s="13">
        <f t="shared" si="1"/>
        <v>31999.999999999996</v>
      </c>
    </row>
    <row r="94" spans="1:3" ht="17.25" x14ac:dyDescent="0.3">
      <c r="A94" s="12" t="s">
        <v>168</v>
      </c>
      <c r="B94" s="20">
        <v>30800</v>
      </c>
      <c r="C94" s="13">
        <f t="shared" si="1"/>
        <v>27999.999999999996</v>
      </c>
    </row>
    <row r="95" spans="1:3" ht="17.25" x14ac:dyDescent="0.3">
      <c r="A95" s="12" t="s">
        <v>154</v>
      </c>
      <c r="B95" s="20">
        <v>3300</v>
      </c>
      <c r="C95" s="13">
        <f t="shared" si="1"/>
        <v>2999.9999999999995</v>
      </c>
    </row>
    <row r="96" spans="1:3" ht="17.25" x14ac:dyDescent="0.3">
      <c r="A96" s="12" t="s">
        <v>265</v>
      </c>
      <c r="B96" s="20">
        <v>3100</v>
      </c>
      <c r="C96" s="13">
        <f t="shared" si="1"/>
        <v>2818.181818181818</v>
      </c>
    </row>
    <row r="97" spans="1:3" ht="17.25" x14ac:dyDescent="0.3">
      <c r="A97" s="12" t="s">
        <v>162</v>
      </c>
      <c r="B97" s="20">
        <v>6950</v>
      </c>
      <c r="C97" s="13">
        <f t="shared" si="1"/>
        <v>6318.181818181818</v>
      </c>
    </row>
    <row r="98" spans="1:3" ht="17.25" x14ac:dyDescent="0.3">
      <c r="A98" s="12" t="s">
        <v>151</v>
      </c>
      <c r="B98" s="20">
        <v>800</v>
      </c>
      <c r="C98" s="13">
        <f t="shared" si="1"/>
        <v>727.27272727272725</v>
      </c>
    </row>
    <row r="99" spans="1:3" ht="17.25" x14ac:dyDescent="0.3">
      <c r="A99" s="12" t="s">
        <v>313</v>
      </c>
      <c r="B99" s="20">
        <v>800</v>
      </c>
      <c r="C99" s="13">
        <f t="shared" si="1"/>
        <v>727.27272727272725</v>
      </c>
    </row>
    <row r="100" spans="1:3" ht="17.25" x14ac:dyDescent="0.3">
      <c r="A100" s="16" t="s">
        <v>183</v>
      </c>
      <c r="B100" s="20">
        <v>19000</v>
      </c>
      <c r="C100" s="13">
        <f t="shared" si="1"/>
        <v>17272.727272727272</v>
      </c>
    </row>
    <row r="101" spans="1:3" ht="17.25" x14ac:dyDescent="0.3">
      <c r="A101" s="16" t="s">
        <v>129</v>
      </c>
      <c r="B101" s="20">
        <v>7920</v>
      </c>
      <c r="C101" s="13">
        <f t="shared" si="1"/>
        <v>7199.9999999999991</v>
      </c>
    </row>
    <row r="102" spans="1:3" ht="17.25" x14ac:dyDescent="0.3">
      <c r="A102" s="16" t="s">
        <v>83</v>
      </c>
      <c r="B102" s="20">
        <v>8400</v>
      </c>
      <c r="C102" s="13">
        <f t="shared" si="1"/>
        <v>7636.363636363636</v>
      </c>
    </row>
    <row r="103" spans="1:3" ht="17.25" x14ac:dyDescent="0.3">
      <c r="A103" s="16" t="s">
        <v>185</v>
      </c>
      <c r="B103" s="20">
        <v>11900</v>
      </c>
      <c r="C103" s="13">
        <f t="shared" si="1"/>
        <v>10818.181818181818</v>
      </c>
    </row>
    <row r="104" spans="1:3" ht="17.25" x14ac:dyDescent="0.3">
      <c r="A104" s="16" t="s">
        <v>182</v>
      </c>
      <c r="B104" s="20">
        <v>19580</v>
      </c>
      <c r="C104" s="13">
        <f t="shared" si="1"/>
        <v>17800</v>
      </c>
    </row>
    <row r="105" spans="1:3" ht="17.25" x14ac:dyDescent="0.3">
      <c r="A105" s="16" t="s">
        <v>238</v>
      </c>
      <c r="B105" s="20">
        <v>24970</v>
      </c>
      <c r="C105" s="13">
        <f t="shared" si="1"/>
        <v>22699.999999999996</v>
      </c>
    </row>
    <row r="106" spans="1:3" ht="17.25" x14ac:dyDescent="0.3">
      <c r="A106" s="16" t="s">
        <v>86</v>
      </c>
      <c r="B106" s="20">
        <v>16500</v>
      </c>
      <c r="C106" s="13">
        <f t="shared" si="1"/>
        <v>14999.999999999998</v>
      </c>
    </row>
    <row r="107" spans="1:3" ht="17.25" x14ac:dyDescent="0.3">
      <c r="A107" s="16" t="s">
        <v>173</v>
      </c>
      <c r="B107" s="20">
        <v>7900</v>
      </c>
      <c r="C107" s="13">
        <f t="shared" si="1"/>
        <v>7181.8181818181811</v>
      </c>
    </row>
    <row r="108" spans="1:3" ht="17.25" x14ac:dyDescent="0.3">
      <c r="A108" s="16" t="s">
        <v>264</v>
      </c>
      <c r="B108" s="20">
        <v>4900</v>
      </c>
      <c r="C108" s="13">
        <f t="shared" si="1"/>
        <v>4454.545454545454</v>
      </c>
    </row>
    <row r="109" spans="1:3" ht="17.25" x14ac:dyDescent="0.3">
      <c r="A109" s="16" t="s">
        <v>17</v>
      </c>
      <c r="B109" s="20"/>
      <c r="C109" s="13">
        <v>11700</v>
      </c>
    </row>
    <row r="110" spans="1:3" ht="17.25" x14ac:dyDescent="0.3">
      <c r="A110" s="16" t="s">
        <v>68</v>
      </c>
      <c r="B110" s="20"/>
      <c r="C110" s="13">
        <v>13400</v>
      </c>
    </row>
    <row r="111" spans="1:3" ht="17.25" x14ac:dyDescent="0.3">
      <c r="A111" s="16" t="s">
        <v>110</v>
      </c>
      <c r="B111" s="21"/>
      <c r="C111" s="13">
        <v>2500</v>
      </c>
    </row>
    <row r="112" spans="1:3" ht="17.25" x14ac:dyDescent="0.3">
      <c r="A112" s="16" t="s">
        <v>184</v>
      </c>
      <c r="B112" s="20">
        <v>7920</v>
      </c>
      <c r="C112" s="13">
        <f t="shared" si="1"/>
        <v>7199.9999999999991</v>
      </c>
    </row>
    <row r="113" spans="1:3" ht="17.25" x14ac:dyDescent="0.3">
      <c r="A113" s="16" t="s">
        <v>143</v>
      </c>
      <c r="B113" s="20">
        <v>17000</v>
      </c>
      <c r="C113" s="13">
        <f t="shared" si="1"/>
        <v>15454.545454545454</v>
      </c>
    </row>
    <row r="114" spans="1:3" ht="17.25" x14ac:dyDescent="0.3">
      <c r="A114" s="16" t="s">
        <v>187</v>
      </c>
      <c r="B114" s="20">
        <v>19900</v>
      </c>
      <c r="C114" s="13">
        <f t="shared" si="1"/>
        <v>18090.909090909088</v>
      </c>
    </row>
    <row r="115" spans="1:3" ht="17.25" x14ac:dyDescent="0.3">
      <c r="A115" s="16" t="s">
        <v>178</v>
      </c>
      <c r="B115" s="20">
        <v>9400</v>
      </c>
      <c r="C115" s="13">
        <f t="shared" si="1"/>
        <v>8545.4545454545441</v>
      </c>
    </row>
    <row r="116" spans="1:3" ht="17.25" x14ac:dyDescent="0.3">
      <c r="A116" s="16" t="s">
        <v>181</v>
      </c>
      <c r="B116" s="20">
        <v>9900</v>
      </c>
      <c r="C116" s="13">
        <f t="shared" si="1"/>
        <v>9000</v>
      </c>
    </row>
    <row r="117" spans="1:3" ht="17.25" x14ac:dyDescent="0.3">
      <c r="A117" s="16" t="s">
        <v>177</v>
      </c>
      <c r="B117" s="20">
        <v>11000</v>
      </c>
      <c r="C117" s="13">
        <f t="shared" si="1"/>
        <v>10000</v>
      </c>
    </row>
    <row r="128" spans="1:3" x14ac:dyDescent="0.3">
      <c r="A128" t="s">
        <v>220</v>
      </c>
      <c r="B128">
        <v>11800</v>
      </c>
      <c r="C128">
        <f>B128/1.1</f>
        <v>10727.272727272726</v>
      </c>
    </row>
  </sheetData>
  <phoneticPr fontId="3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혁주 임</dc:creator>
  <cp:lastModifiedBy>혁주 임</cp:lastModifiedBy>
  <dcterms:created xsi:type="dcterms:W3CDTF">2026-06-26T05:11:43Z</dcterms:created>
  <dcterms:modified xsi:type="dcterms:W3CDTF">2026-07-06T01:10:14Z</dcterms:modified>
</cp:coreProperties>
</file>