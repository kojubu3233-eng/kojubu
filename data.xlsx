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C2EF220F-4708-4314-9240-06CB73E4B54F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Sheet1!$A$1:$G$1648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41" i="1" l="1"/>
  <c r="G1541" i="1" s="1"/>
  <c r="F1540" i="1"/>
  <c r="G1540" i="1" s="1"/>
  <c r="E1648" i="1" l="1"/>
  <c r="E1647" i="1"/>
  <c r="E1646" i="1"/>
  <c r="E1645" i="1"/>
  <c r="E1644" i="1"/>
  <c r="E1643" i="1"/>
  <c r="E1642" i="1"/>
  <c r="E1641" i="1"/>
  <c r="E1639" i="1"/>
  <c r="E1638" i="1"/>
  <c r="E1637" i="1"/>
  <c r="E1636" i="1"/>
  <c r="E1634" i="1"/>
  <c r="E1633" i="1"/>
  <c r="E1632" i="1"/>
  <c r="E1631" i="1"/>
  <c r="E1629" i="1"/>
  <c r="E1626" i="1"/>
  <c r="E1625" i="1"/>
  <c r="E1622" i="1"/>
  <c r="E1621" i="1"/>
  <c r="E1620" i="1"/>
  <c r="E1618" i="1"/>
  <c r="E1617" i="1"/>
  <c r="E1615" i="1"/>
  <c r="E1614" i="1"/>
  <c r="E1613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4" i="1"/>
  <c r="E1592" i="1"/>
  <c r="E1586" i="1"/>
  <c r="E1585" i="1"/>
  <c r="E1584" i="1"/>
  <c r="E1583" i="1"/>
  <c r="E1581" i="1"/>
  <c r="E1580" i="1"/>
  <c r="E1574" i="1"/>
  <c r="E1573" i="1"/>
  <c r="E1572" i="1"/>
  <c r="E1571" i="1"/>
  <c r="E1568" i="1"/>
  <c r="E1567" i="1"/>
  <c r="E1566" i="1"/>
  <c r="E1565" i="1"/>
  <c r="E1564" i="1"/>
  <c r="E1563" i="1"/>
  <c r="E1562" i="1"/>
  <c r="E1561" i="1"/>
  <c r="E1560" i="1"/>
  <c r="E1557" i="1"/>
  <c r="E1556" i="1"/>
  <c r="E1555" i="1"/>
  <c r="E1554" i="1"/>
  <c r="E1553" i="1"/>
  <c r="E1550" i="1"/>
  <c r="E1549" i="1"/>
  <c r="E1548" i="1"/>
  <c r="E1547" i="1"/>
  <c r="E1546" i="1"/>
  <c r="E1539" i="1"/>
  <c r="E1538" i="1"/>
  <c r="E1537" i="1"/>
  <c r="E1536" i="1"/>
  <c r="E1535" i="1"/>
  <c r="E1533" i="1"/>
  <c r="E1529" i="1"/>
  <c r="E1528" i="1"/>
  <c r="E1527" i="1"/>
  <c r="E1526" i="1"/>
  <c r="E1525" i="1"/>
  <c r="E1522" i="1"/>
  <c r="E1521" i="1"/>
  <c r="E1520" i="1"/>
  <c r="E1519" i="1"/>
  <c r="E1518" i="1"/>
  <c r="E1514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5" i="1"/>
  <c r="E1494" i="1"/>
  <c r="E1493" i="1"/>
  <c r="E1492" i="1"/>
  <c r="E1488" i="1"/>
  <c r="E1487" i="1"/>
  <c r="E1486" i="1"/>
  <c r="E1485" i="1"/>
  <c r="E1484" i="1"/>
  <c r="E1482" i="1"/>
  <c r="E1481" i="1"/>
  <c r="E1480" i="1"/>
  <c r="E1479" i="1"/>
  <c r="E1477" i="1"/>
  <c r="E1476" i="1"/>
  <c r="E1472" i="1"/>
  <c r="E1471" i="1"/>
  <c r="E1466" i="1"/>
  <c r="E1465" i="1"/>
  <c r="E1464" i="1"/>
  <c r="E1463" i="1"/>
  <c r="E1461" i="1"/>
  <c r="E1460" i="1"/>
  <c r="E1459" i="1"/>
  <c r="E1456" i="1"/>
  <c r="E1455" i="1"/>
  <c r="E1454" i="1"/>
  <c r="E1453" i="1"/>
  <c r="E1452" i="1"/>
  <c r="E1451" i="1"/>
  <c r="E1450" i="1"/>
  <c r="E1444" i="1"/>
  <c r="E1443" i="1"/>
  <c r="E1442" i="1"/>
  <c r="E1441" i="1"/>
  <c r="E1438" i="1"/>
  <c r="E1437" i="1"/>
  <c r="E1436" i="1"/>
  <c r="E1433" i="1"/>
  <c r="E1432" i="1"/>
  <c r="E1431" i="1"/>
  <c r="E1430" i="1"/>
  <c r="F1648" i="1"/>
  <c r="G1648" i="1" s="1"/>
  <c r="F1647" i="1"/>
  <c r="G1647" i="1" s="1"/>
  <c r="F1646" i="1"/>
  <c r="G1646" i="1" s="1"/>
  <c r="F1645" i="1"/>
  <c r="F1644" i="1"/>
  <c r="F1643" i="1"/>
  <c r="G1643" i="1" l="1"/>
  <c r="G1645" i="1"/>
  <c r="G1644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E986" i="1" l="1"/>
  <c r="E955" i="1"/>
  <c r="E954" i="1"/>
  <c r="E948" i="1"/>
  <c r="F1642" i="1" l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7" i="1"/>
  <c r="F1423" i="1"/>
  <c r="G1423" i="1" s="1"/>
  <c r="F1413" i="1"/>
  <c r="G1413" i="1" s="1"/>
  <c r="F1412" i="1"/>
  <c r="G1412" i="1" s="1"/>
  <c r="F1409" i="1"/>
  <c r="G1409" i="1" s="1"/>
  <c r="F1405" i="1"/>
  <c r="G1405" i="1" s="1"/>
  <c r="F1402" i="1"/>
  <c r="G1402" i="1" s="1"/>
  <c r="F1398" i="1"/>
  <c r="G1398" i="1" s="1"/>
  <c r="F1397" i="1"/>
  <c r="G1397" i="1" s="1"/>
  <c r="F1394" i="1"/>
  <c r="G1394" i="1" s="1"/>
  <c r="F1392" i="1"/>
  <c r="G1392" i="1" s="1"/>
  <c r="F1384" i="1"/>
  <c r="G1384" i="1" s="1"/>
  <c r="F1383" i="1"/>
  <c r="G1383" i="1" s="1"/>
  <c r="F1379" i="1"/>
  <c r="G1379" i="1" s="1"/>
  <c r="F1378" i="1"/>
  <c r="G1378" i="1" s="1"/>
  <c r="F1367" i="1"/>
  <c r="G1367" i="1" s="1"/>
  <c r="F1364" i="1"/>
  <c r="G1364" i="1" s="1"/>
  <c r="F1354" i="1"/>
  <c r="G1354" i="1" s="1"/>
  <c r="F1351" i="1"/>
  <c r="G1351" i="1" s="1"/>
  <c r="F1349" i="1"/>
  <c r="G1349" i="1" s="1"/>
  <c r="F1344" i="1"/>
  <c r="G1344" i="1" s="1"/>
  <c r="F1338" i="1"/>
  <c r="G1338" i="1" s="1"/>
  <c r="F1336" i="1"/>
  <c r="G1336" i="1" s="1"/>
  <c r="F1335" i="1"/>
  <c r="G1335" i="1" s="1"/>
  <c r="F1334" i="1"/>
  <c r="G1334" i="1" s="1"/>
  <c r="F1331" i="1"/>
  <c r="G1331" i="1" s="1"/>
  <c r="F1328" i="1"/>
  <c r="G1328" i="1" s="1"/>
  <c r="F1324" i="1"/>
  <c r="G1324" i="1" s="1"/>
  <c r="F1315" i="1"/>
  <c r="G1315" i="1" s="1"/>
  <c r="F1312" i="1"/>
  <c r="G1312" i="1" s="1"/>
  <c r="F1311" i="1"/>
  <c r="G1311" i="1" s="1"/>
  <c r="F1308" i="1"/>
  <c r="G1308" i="1" s="1"/>
  <c r="F1306" i="1"/>
  <c r="G1306" i="1" s="1"/>
  <c r="F1299" i="1"/>
  <c r="G1299" i="1" s="1"/>
  <c r="F1298" i="1"/>
  <c r="G1298" i="1" s="1"/>
  <c r="F1291" i="1"/>
  <c r="G1291" i="1" s="1"/>
  <c r="F1289" i="1"/>
  <c r="G1289" i="1" s="1"/>
  <c r="F1287" i="1"/>
  <c r="G1287" i="1" s="1"/>
  <c r="F1282" i="1"/>
  <c r="G1282" i="1" s="1"/>
  <c r="F1280" i="1"/>
  <c r="G1280" i="1" s="1"/>
  <c r="F1277" i="1"/>
  <c r="G1277" i="1" s="1"/>
  <c r="F1274" i="1"/>
  <c r="G1274" i="1" s="1"/>
  <c r="F1273" i="1"/>
  <c r="G1273" i="1" s="1"/>
  <c r="F1271" i="1"/>
  <c r="G1271" i="1" s="1"/>
  <c r="F1267" i="1"/>
  <c r="G1267" i="1" s="1"/>
  <c r="F1263" i="1"/>
  <c r="G1263" i="1" s="1"/>
  <c r="F1256" i="1"/>
  <c r="G1256" i="1" s="1"/>
  <c r="F1252" i="1"/>
  <c r="G1252" i="1" s="1"/>
  <c r="F1251" i="1"/>
  <c r="G1251" i="1" s="1"/>
  <c r="F1248" i="1"/>
  <c r="G1248" i="1" s="1"/>
  <c r="F1241" i="1"/>
  <c r="G1241" i="1" s="1"/>
  <c r="F1240" i="1"/>
  <c r="G1240" i="1" s="1"/>
  <c r="F1237" i="1"/>
  <c r="G1237" i="1" s="1"/>
  <c r="F1236" i="1"/>
  <c r="G1236" i="1" s="1"/>
  <c r="F1229" i="1"/>
  <c r="G1229" i="1" s="1"/>
  <c r="F1228" i="1"/>
  <c r="G1228" i="1" s="1"/>
  <c r="F1227" i="1"/>
  <c r="G1227" i="1" s="1"/>
  <c r="F1225" i="1"/>
  <c r="G1225" i="1" s="1"/>
  <c r="F1220" i="1"/>
  <c r="G1220" i="1" s="1"/>
  <c r="F1219" i="1"/>
  <c r="G1219" i="1" s="1"/>
  <c r="F1215" i="1"/>
  <c r="G1215" i="1" s="1"/>
  <c r="F1212" i="1"/>
  <c r="G1212" i="1" s="1"/>
  <c r="F1210" i="1"/>
  <c r="G1210" i="1" s="1"/>
  <c r="F1207" i="1"/>
  <c r="G1207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8" i="1"/>
  <c r="G1288" i="1" s="1"/>
  <c r="F1357" i="1"/>
  <c r="G1357" i="1" s="1"/>
  <c r="F1305" i="1"/>
  <c r="G1305" i="1" s="1"/>
  <c r="F1034" i="1"/>
  <c r="G1034" i="1" s="1"/>
  <c r="F1150" i="1"/>
  <c r="G1150" i="1" s="1"/>
  <c r="F1072" i="1"/>
  <c r="G1072" i="1" s="1"/>
  <c r="F1325" i="1"/>
  <c r="G1325" i="1" s="1"/>
  <c r="F1090" i="1"/>
  <c r="G1090" i="1" s="1"/>
  <c r="F1109" i="1"/>
  <c r="G1109" i="1" s="1"/>
  <c r="F1110" i="1"/>
  <c r="G1110" i="1" s="1"/>
  <c r="F1069" i="1"/>
  <c r="G1069" i="1" s="1"/>
  <c r="F1292" i="1"/>
  <c r="G1292" i="1" s="1"/>
  <c r="F1395" i="1"/>
  <c r="G1395" i="1" s="1"/>
  <c r="F1189" i="1"/>
  <c r="G1189" i="1" s="1"/>
  <c r="F798" i="1"/>
  <c r="G798" i="1" s="1"/>
  <c r="F1290" i="1"/>
  <c r="G1290" i="1" s="1"/>
  <c r="F1170" i="1"/>
  <c r="G1170" i="1" s="1"/>
  <c r="F1004" i="1"/>
  <c r="G1004" i="1" s="1"/>
  <c r="F1206" i="1"/>
  <c r="G1206" i="1" s="1"/>
  <c r="F965" i="1"/>
  <c r="G965" i="1" s="1"/>
  <c r="F1286" i="1"/>
  <c r="G1286" i="1" s="1"/>
  <c r="F1171" i="1"/>
  <c r="G1171" i="1" s="1"/>
  <c r="F1388" i="1"/>
  <c r="G1388" i="1" s="1"/>
  <c r="F1158" i="1"/>
  <c r="G1158" i="1" s="1"/>
  <c r="F1085" i="1"/>
  <c r="G1085" i="1" s="1"/>
  <c r="F1190" i="1"/>
  <c r="G1190" i="1" s="1"/>
  <c r="F1200" i="1"/>
  <c r="G1200" i="1" s="1"/>
  <c r="F1337" i="1"/>
  <c r="G1337" i="1" s="1"/>
  <c r="F947" i="1"/>
  <c r="G947" i="1" s="1"/>
  <c r="F1123" i="1"/>
  <c r="G1123" i="1" s="1"/>
  <c r="F959" i="1"/>
  <c r="G959" i="1" s="1"/>
  <c r="F1218" i="1"/>
  <c r="G1218" i="1" s="1"/>
  <c r="F942" i="1"/>
  <c r="G942" i="1" s="1"/>
  <c r="F1400" i="1"/>
  <c r="G1400" i="1" s="1"/>
  <c r="F1316" i="1"/>
  <c r="G1316" i="1" s="1"/>
  <c r="F1346" i="1"/>
  <c r="G1346" i="1" s="1"/>
  <c r="F1352" i="1"/>
  <c r="G1352" i="1" s="1"/>
  <c r="F1345" i="1"/>
  <c r="G1345" i="1" s="1"/>
  <c r="F1062" i="1"/>
  <c r="G1062" i="1" s="1"/>
  <c r="F1340" i="1"/>
  <c r="G1340" i="1" s="1"/>
  <c r="F678" i="1"/>
  <c r="G678" i="1" s="1"/>
  <c r="F1141" i="1"/>
  <c r="G1141" i="1" s="1"/>
  <c r="F1387" i="1"/>
  <c r="G1387" i="1" s="1"/>
  <c r="F1038" i="1"/>
  <c r="G1038" i="1" s="1"/>
  <c r="F1362" i="1"/>
  <c r="G1362" i="1" s="1"/>
  <c r="F1172" i="1"/>
  <c r="G1172" i="1" s="1"/>
  <c r="F1124" i="1"/>
  <c r="G1124" i="1" s="1"/>
  <c r="F1376" i="1"/>
  <c r="G1376" i="1" s="1"/>
  <c r="F1310" i="1"/>
  <c r="G1310" i="1" s="1"/>
  <c r="F1242" i="1"/>
  <c r="G1242" i="1" s="1"/>
  <c r="F1374" i="1"/>
  <c r="G1374" i="1" s="1"/>
  <c r="F971" i="1"/>
  <c r="G971" i="1" s="1"/>
  <c r="F1422" i="1"/>
  <c r="G1422" i="1" s="1"/>
  <c r="F1268" i="1"/>
  <c r="G1268" i="1" s="1"/>
  <c r="F911" i="1"/>
  <c r="G911" i="1" s="1"/>
  <c r="F1272" i="1"/>
  <c r="G1272" i="1" s="1"/>
  <c r="F1070" i="1"/>
  <c r="G1070" i="1" s="1"/>
  <c r="F1050" i="1"/>
  <c r="G1050" i="1" s="1"/>
  <c r="F1244" i="1"/>
  <c r="G1244" i="1" s="1"/>
  <c r="F1100" i="1"/>
  <c r="G1100" i="1" s="1"/>
  <c r="F1322" i="1"/>
  <c r="G1322" i="1" s="1"/>
  <c r="F777" i="1"/>
  <c r="G777" i="1" s="1"/>
  <c r="F1424" i="1"/>
  <c r="F1111" i="1" l="1"/>
  <c r="G1111" i="1" s="1"/>
  <c r="F1255" i="1"/>
  <c r="G1255" i="1" s="1"/>
  <c r="F1279" i="1"/>
  <c r="G1279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08" i="1"/>
  <c r="G1208" i="1" s="1"/>
  <c r="F1232" i="1"/>
  <c r="G1232" i="1" s="1"/>
  <c r="F1304" i="1"/>
  <c r="G1304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09" i="1"/>
  <c r="G1209" i="1" s="1"/>
  <c r="F1221" i="1"/>
  <c r="G1221" i="1" s="1"/>
  <c r="F1233" i="1"/>
  <c r="G1233" i="1" s="1"/>
  <c r="F1245" i="1"/>
  <c r="G1245" i="1" s="1"/>
  <c r="F1257" i="1"/>
  <c r="G1257" i="1" s="1"/>
  <c r="F1269" i="1"/>
  <c r="G1269" i="1" s="1"/>
  <c r="F1281" i="1"/>
  <c r="G1281" i="1" s="1"/>
  <c r="F1293" i="1"/>
  <c r="G1293" i="1" s="1"/>
  <c r="F1317" i="1"/>
  <c r="G1317" i="1" s="1"/>
  <c r="F1329" i="1"/>
  <c r="G1329" i="1" s="1"/>
  <c r="F1341" i="1"/>
  <c r="G1341" i="1" s="1"/>
  <c r="F1353" i="1"/>
  <c r="G1353" i="1" s="1"/>
  <c r="F1365" i="1"/>
  <c r="G1365" i="1" s="1"/>
  <c r="F1377" i="1"/>
  <c r="G1377" i="1" s="1"/>
  <c r="F1389" i="1"/>
  <c r="G1389" i="1" s="1"/>
  <c r="F1401" i="1"/>
  <c r="G1401" i="1" s="1"/>
  <c r="F1425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22" i="1"/>
  <c r="G1222" i="1" s="1"/>
  <c r="F1246" i="1"/>
  <c r="G1246" i="1" s="1"/>
  <c r="F1270" i="1"/>
  <c r="G1270" i="1" s="1"/>
  <c r="F1294" i="1"/>
  <c r="G1294" i="1" s="1"/>
  <c r="F1318" i="1"/>
  <c r="G1318" i="1" s="1"/>
  <c r="F1342" i="1"/>
  <c r="G1342" i="1" s="1"/>
  <c r="F1366" i="1"/>
  <c r="G1366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34" i="1"/>
  <c r="G1234" i="1" s="1"/>
  <c r="F1258" i="1"/>
  <c r="G1258" i="1" s="1"/>
  <c r="F1330" i="1"/>
  <c r="G1330" i="1" s="1"/>
  <c r="F1390" i="1"/>
  <c r="G1390" i="1" s="1"/>
  <c r="F1414" i="1"/>
  <c r="G1414" i="1" s="1"/>
  <c r="F1426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1" i="1"/>
  <c r="G1211" i="1" s="1"/>
  <c r="F1223" i="1"/>
  <c r="G1223" i="1" s="1"/>
  <c r="F1235" i="1"/>
  <c r="G1235" i="1" s="1"/>
  <c r="F1247" i="1"/>
  <c r="G1247" i="1" s="1"/>
  <c r="F1259" i="1"/>
  <c r="G1259" i="1" s="1"/>
  <c r="F1283" i="1"/>
  <c r="G1283" i="1" s="1"/>
  <c r="F1295" i="1"/>
  <c r="G1295" i="1" s="1"/>
  <c r="F1307" i="1"/>
  <c r="G1307" i="1" s="1"/>
  <c r="F1319" i="1"/>
  <c r="G1319" i="1" s="1"/>
  <c r="F1343" i="1"/>
  <c r="G1343" i="1" s="1"/>
  <c r="F1355" i="1"/>
  <c r="G1355" i="1" s="1"/>
  <c r="F1391" i="1"/>
  <c r="G1391" i="1" s="1"/>
  <c r="F1415" i="1"/>
  <c r="G1415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24" i="1"/>
  <c r="G1224" i="1" s="1"/>
  <c r="F1260" i="1"/>
  <c r="G1260" i="1" s="1"/>
  <c r="F1284" i="1"/>
  <c r="G1284" i="1" s="1"/>
  <c r="F1296" i="1"/>
  <c r="G1296" i="1" s="1"/>
  <c r="F1320" i="1"/>
  <c r="G1320" i="1" s="1"/>
  <c r="F1332" i="1"/>
  <c r="G1332" i="1" s="1"/>
  <c r="F1380" i="1"/>
  <c r="G1380" i="1" s="1"/>
  <c r="F1404" i="1"/>
  <c r="G1404" i="1" s="1"/>
  <c r="F1416" i="1"/>
  <c r="G1416" i="1" s="1"/>
  <c r="F1428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9" i="1"/>
  <c r="G1249" i="1" s="1"/>
  <c r="F1297" i="1"/>
  <c r="G1297" i="1" s="1"/>
  <c r="F1321" i="1"/>
  <c r="G1321" i="1" s="1"/>
  <c r="F1369" i="1"/>
  <c r="G1369" i="1" s="1"/>
  <c r="F1393" i="1"/>
  <c r="G1393" i="1" s="1"/>
  <c r="F1417" i="1"/>
  <c r="G1417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13" i="1"/>
  <c r="G1213" i="1" s="1"/>
  <c r="F1261" i="1"/>
  <c r="G1261" i="1" s="1"/>
  <c r="F1285" i="1"/>
  <c r="G1285" i="1" s="1"/>
  <c r="F1309" i="1"/>
  <c r="G1309" i="1" s="1"/>
  <c r="F1381" i="1"/>
  <c r="G1381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358" i="1"/>
  <c r="G1358" i="1" s="1"/>
  <c r="F1370" i="1"/>
  <c r="G1370" i="1" s="1"/>
  <c r="F1382" i="1"/>
  <c r="G1382" i="1" s="1"/>
  <c r="F1406" i="1"/>
  <c r="G1406" i="1" s="1"/>
  <c r="F1418" i="1"/>
  <c r="G1418" i="1" s="1"/>
  <c r="F1047" i="1"/>
  <c r="G1047" i="1" s="1"/>
  <c r="F1107" i="1"/>
  <c r="G1107" i="1" s="1"/>
  <c r="F1155" i="1"/>
  <c r="G1155" i="1" s="1"/>
  <c r="F1239" i="1"/>
  <c r="G1239" i="1" s="1"/>
  <c r="F1275" i="1"/>
  <c r="G1275" i="1" s="1"/>
  <c r="F1323" i="1"/>
  <c r="G1323" i="1" s="1"/>
  <c r="F1347" i="1"/>
  <c r="G1347" i="1" s="1"/>
  <c r="F1371" i="1"/>
  <c r="G1371" i="1" s="1"/>
  <c r="F1407" i="1"/>
  <c r="G1407" i="1" s="1"/>
  <c r="F1419" i="1"/>
  <c r="G1419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16" i="1"/>
  <c r="G1216" i="1" s="1"/>
  <c r="F1264" i="1"/>
  <c r="G1264" i="1" s="1"/>
  <c r="F1276" i="1"/>
  <c r="G1276" i="1" s="1"/>
  <c r="F1300" i="1"/>
  <c r="G1300" i="1" s="1"/>
  <c r="F1348" i="1"/>
  <c r="G1348" i="1" s="1"/>
  <c r="F1360" i="1"/>
  <c r="G1360" i="1" s="1"/>
  <c r="F1372" i="1"/>
  <c r="G1372" i="1" s="1"/>
  <c r="F1396" i="1"/>
  <c r="G1396" i="1" s="1"/>
  <c r="F1408" i="1"/>
  <c r="G1408" i="1" s="1"/>
  <c r="F1420" i="1"/>
  <c r="G1420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7" i="1"/>
  <c r="G1217" i="1" s="1"/>
  <c r="F1253" i="1"/>
  <c r="G1253" i="1" s="1"/>
  <c r="F1301" i="1"/>
  <c r="G1301" i="1" s="1"/>
  <c r="F1313" i="1"/>
  <c r="G1313" i="1" s="1"/>
  <c r="F1361" i="1"/>
  <c r="G1361" i="1" s="1"/>
  <c r="F1373" i="1"/>
  <c r="G1373" i="1" s="1"/>
  <c r="F1385" i="1"/>
  <c r="G1385" i="1" s="1"/>
  <c r="F1421" i="1"/>
  <c r="G1421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65" i="1"/>
  <c r="G1265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30" i="1"/>
  <c r="G1230" i="1" s="1"/>
  <c r="F1254" i="1"/>
  <c r="G1254" i="1" s="1"/>
  <c r="F1266" i="1"/>
  <c r="G1266" i="1" s="1"/>
  <c r="F1278" i="1"/>
  <c r="G1278" i="1" s="1"/>
  <c r="F1302" i="1"/>
  <c r="G1302" i="1" s="1"/>
  <c r="F1314" i="1"/>
  <c r="G1314" i="1" s="1"/>
  <c r="F1326" i="1"/>
  <c r="G1326" i="1" s="1"/>
  <c r="F1350" i="1"/>
  <c r="G1350" i="1" s="1"/>
  <c r="F1386" i="1"/>
  <c r="G1386" i="1" s="1"/>
  <c r="F1410" i="1"/>
  <c r="G1410" i="1" s="1"/>
  <c r="F871" i="1"/>
  <c r="G871" i="1" s="1"/>
  <c r="F919" i="1"/>
  <c r="G919" i="1" s="1"/>
  <c r="F1159" i="1"/>
  <c r="G1159" i="1" s="1"/>
  <c r="F1231" i="1"/>
  <c r="G1231" i="1" s="1"/>
  <c r="F1303" i="1"/>
  <c r="G1303" i="1" s="1"/>
  <c r="F1327" i="1"/>
  <c r="G1327" i="1" s="1"/>
  <c r="F1339" i="1"/>
  <c r="G1339" i="1" s="1"/>
  <c r="F1363" i="1"/>
  <c r="G1363" i="1" s="1"/>
  <c r="F1375" i="1"/>
  <c r="G1375" i="1" s="1"/>
  <c r="F1399" i="1"/>
  <c r="G1399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43" i="1"/>
  <c r="G1243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F119" i="1"/>
  <c r="F113" i="1"/>
  <c r="G113" i="1" s="1"/>
  <c r="F108" i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G126" i="1" s="1"/>
  <c r="E121" i="1"/>
  <c r="E119" i="1"/>
  <c r="G119" i="1" s="1"/>
  <c r="E108" i="1"/>
  <c r="G108" i="1" s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42" i="1"/>
  <c r="G1641" i="1"/>
  <c r="G1626" i="1"/>
  <c r="G1623" i="1"/>
  <c r="G1622" i="1"/>
  <c r="G1621" i="1"/>
  <c r="G1620" i="1"/>
  <c r="G1614" i="1"/>
  <c r="G1613" i="1"/>
  <c r="G1612" i="1"/>
  <c r="G1611" i="1"/>
  <c r="G1607" i="1"/>
  <c r="G1597" i="1"/>
  <c r="G1596" i="1"/>
  <c r="G1595" i="1"/>
  <c r="G1587" i="1"/>
  <c r="G1586" i="1"/>
  <c r="G1585" i="1"/>
  <c r="G1583" i="1"/>
  <c r="G1582" i="1"/>
  <c r="G1579" i="1"/>
  <c r="G1577" i="1"/>
  <c r="G1573" i="1"/>
  <c r="G1572" i="1"/>
  <c r="G1571" i="1"/>
  <c r="G1570" i="1"/>
  <c r="G1569" i="1"/>
  <c r="G1563" i="1"/>
  <c r="G1561" i="1"/>
  <c r="G1558" i="1"/>
  <c r="G1552" i="1"/>
  <c r="G1545" i="1"/>
  <c r="G1544" i="1"/>
  <c r="G1543" i="1"/>
  <c r="G1538" i="1"/>
  <c r="G1537" i="1"/>
  <c r="G1534" i="1"/>
  <c r="G1533" i="1"/>
  <c r="G1522" i="1"/>
  <c r="G1520" i="1"/>
  <c r="G1519" i="1"/>
  <c r="G1518" i="1"/>
  <c r="G1517" i="1"/>
  <c r="G1511" i="1"/>
  <c r="G1510" i="1"/>
  <c r="G1509" i="1"/>
  <c r="G1507" i="1"/>
  <c r="G1497" i="1"/>
  <c r="G1490" i="1"/>
  <c r="G1487" i="1"/>
  <c r="G1486" i="1"/>
  <c r="G1485" i="1"/>
  <c r="G1484" i="1"/>
  <c r="G1482" i="1"/>
  <c r="G1476" i="1"/>
  <c r="G1475" i="1"/>
  <c r="G1468" i="1"/>
  <c r="G1467" i="1"/>
  <c r="G1466" i="1"/>
  <c r="G1464" i="1"/>
  <c r="G1463" i="1"/>
  <c r="G1462" i="1"/>
  <c r="G1461" i="1"/>
  <c r="G1458" i="1"/>
  <c r="G1457" i="1"/>
  <c r="G1451" i="1"/>
  <c r="G1448" i="1"/>
  <c r="G1442" i="1"/>
  <c r="G1435" i="1"/>
  <c r="G1434" i="1"/>
  <c r="G1433" i="1"/>
  <c r="G1431" i="1"/>
  <c r="G1430" i="1"/>
  <c r="G1429" i="1"/>
  <c r="G1425" i="1"/>
  <c r="F1411" i="1" l="1"/>
  <c r="G1411" i="1" s="1"/>
  <c r="F868" i="1"/>
  <c r="G868" i="1" s="1"/>
  <c r="F1086" i="1"/>
  <c r="G1086" i="1" s="1"/>
  <c r="F820" i="1"/>
  <c r="G820" i="1" s="1"/>
  <c r="F736" i="1"/>
  <c r="G736" i="1" s="1"/>
  <c r="F1359" i="1"/>
  <c r="G1359" i="1" s="1"/>
  <c r="F854" i="1"/>
  <c r="G854" i="1" s="1"/>
  <c r="F1333" i="1"/>
  <c r="G1333" i="1" s="1"/>
  <c r="F973" i="1"/>
  <c r="G973" i="1" s="1"/>
  <c r="F1008" i="1"/>
  <c r="G1008" i="1" s="1"/>
  <c r="F1368" i="1"/>
  <c r="G1368" i="1" s="1"/>
  <c r="F1356" i="1"/>
  <c r="G1356" i="1" s="1"/>
  <c r="F1403" i="1"/>
  <c r="G1403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8" i="1"/>
  <c r="G1548" i="1"/>
  <c r="G1459" i="1"/>
  <c r="G1478" i="1"/>
  <c r="G1499" i="1"/>
  <c r="G1505" i="1"/>
  <c r="G1609" i="1"/>
  <c r="G1450" i="1"/>
  <c r="G1628" i="1"/>
  <c r="G1531" i="1"/>
  <c r="G1424" i="1"/>
  <c r="G1532" i="1"/>
  <c r="G1550" i="1"/>
  <c r="G1608" i="1"/>
  <c r="G1630" i="1"/>
  <c r="G1636" i="1"/>
  <c r="G1427" i="1"/>
  <c r="G1479" i="1"/>
  <c r="G1500" i="1"/>
  <c r="G1506" i="1"/>
  <c r="G1473" i="1"/>
  <c r="G1480" i="1"/>
  <c r="G1483" i="1"/>
  <c r="G1498" i="1"/>
  <c r="G1504" i="1"/>
  <c r="G1455" i="1"/>
  <c r="G1528" i="1"/>
  <c r="G1574" i="1"/>
  <c r="G1638" i="1"/>
  <c r="G1618" i="1"/>
  <c r="G1465" i="1"/>
  <c r="G1529" i="1"/>
  <c r="G1481" i="1"/>
  <c r="G1560" i="1"/>
  <c r="G1619" i="1"/>
  <c r="G1474" i="1"/>
  <c r="G1525" i="1"/>
  <c r="G1437" i="1"/>
  <c r="G1441" i="1"/>
  <c r="G1601" i="1"/>
  <c r="G1453" i="1"/>
  <c r="G1436" i="1"/>
  <c r="G1449" i="1"/>
  <c r="G1492" i="1"/>
  <c r="G1578" i="1"/>
  <c r="G1615" i="1"/>
  <c r="G1477" i="1"/>
  <c r="G1502" i="1"/>
  <c r="G1508" i="1"/>
  <c r="G1523" i="1"/>
  <c r="G1592" i="1"/>
  <c r="G1599" i="1"/>
  <c r="G1605" i="1"/>
  <c r="G1633" i="1"/>
  <c r="G1551" i="1"/>
  <c r="G1491" i="1"/>
  <c r="G1503" i="1"/>
  <c r="G1536" i="1"/>
  <c r="G1565" i="1"/>
  <c r="G1606" i="1"/>
  <c r="G1440" i="1"/>
  <c r="G1530" i="1"/>
  <c r="G1559" i="1"/>
  <c r="G1454" i="1"/>
  <c r="G1512" i="1"/>
  <c r="G1526" i="1"/>
  <c r="G1554" i="1"/>
  <c r="G1575" i="1"/>
  <c r="G1616" i="1"/>
  <c r="G1469" i="1"/>
  <c r="G1494" i="1"/>
  <c r="G1513" i="1"/>
  <c r="G1521" i="1"/>
  <c r="G1527" i="1"/>
  <c r="G1555" i="1"/>
  <c r="G1568" i="1"/>
  <c r="G1631" i="1"/>
  <c r="G1542" i="1"/>
  <c r="G1470" i="1"/>
  <c r="G1495" i="1"/>
  <c r="G1514" i="1"/>
  <c r="G1584" i="1"/>
  <c r="G1591" i="1"/>
  <c r="G1598" i="1"/>
  <c r="G1604" i="1"/>
  <c r="G1445" i="1"/>
  <c r="G1489" i="1"/>
  <c r="G1624" i="1"/>
  <c r="G1439" i="1"/>
  <c r="G1496" i="1"/>
  <c r="G1501" i="1"/>
  <c r="G1524" i="1"/>
  <c r="G1549" i="1"/>
  <c r="G1567" i="1"/>
  <c r="G1456" i="1"/>
  <c r="G1556" i="1"/>
  <c r="G1593" i="1"/>
  <c r="G1600" i="1"/>
  <c r="G1625" i="1"/>
  <c r="G1637" i="1"/>
  <c r="G1428" i="1"/>
  <c r="G1447" i="1"/>
  <c r="G1452" i="1"/>
  <c r="G1535" i="1"/>
  <c r="G1557" i="1"/>
  <c r="G1562" i="1"/>
  <c r="G1580" i="1"/>
  <c r="G1588" i="1"/>
  <c r="G1594" i="1"/>
  <c r="G1632" i="1"/>
  <c r="G1627" i="1"/>
  <c r="G1546" i="1"/>
  <c r="G1581" i="1"/>
  <c r="G1589" i="1"/>
  <c r="G1602" i="1"/>
  <c r="G1639" i="1"/>
  <c r="G1493" i="1"/>
  <c r="G1564" i="1"/>
  <c r="G1443" i="1"/>
  <c r="G1471" i="1"/>
  <c r="G1515" i="1"/>
  <c r="G1547" i="1"/>
  <c r="G1553" i="1"/>
  <c r="G1576" i="1"/>
  <c r="G1590" i="1"/>
  <c r="G1603" i="1"/>
  <c r="G1640" i="1"/>
  <c r="G1634" i="1"/>
  <c r="G1460" i="1"/>
  <c r="G1472" i="1"/>
  <c r="G1516" i="1"/>
  <c r="G1539" i="1"/>
  <c r="G1610" i="1"/>
  <c r="G1629" i="1"/>
  <c r="G1635" i="1"/>
  <c r="G1426" i="1"/>
  <c r="G1432" i="1"/>
  <c r="G1438" i="1"/>
  <c r="G1566" i="1"/>
  <c r="G1617" i="1"/>
  <c r="G1446" i="1"/>
  <c r="G1444" i="1"/>
</calcChain>
</file>

<file path=xl/sharedStrings.xml><?xml version="1.0" encoding="utf-8"?>
<sst xmlns="http://schemas.openxmlformats.org/spreadsheetml/2006/main" count="6715" uniqueCount="349">
  <si>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</si>
  <si>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</si>
  <si>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</si>
  <si>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</si>
  <si>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</si>
  <si>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</si>
  <si>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</si>
  <si>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</si>
  <si>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</si>
  <si>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</si>
  <si>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</si>
  <si>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</si>
  <si>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</si>
  <si>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</si>
  <si>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</si>
  <si>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</si>
  <si>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</si>
  <si>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</si>
  <si>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</si>
  <si>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</si>
  <si>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</si>
  <si>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</si>
  <si>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</si>
  <si>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</si>
  <si>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</si>
  <si>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</si>
  <si>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</si>
  <si>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</si>
  <si>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</si>
  <si>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</si>
  <si>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</si>
  <si>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</si>
  <si>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</si>
  <si>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</si>
  <si>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</si>
  <si>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</si>
  <si>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</si>
  <si>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</si>
  <si>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</si>
  <si>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</si>
  <si>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</si>
  <si>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</si>
  <si>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</si>
  <si>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</si>
  <si>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</si>
  <si>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</si>
  <si>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</si>
  <si>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</si>
  <si>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</si>
  <si>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</si>
  <si>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</si>
  <si>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</si>
  <si>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</si>
  <si>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</si>
  <si>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</si>
  <si>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</si>
  <si>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</si>
  <si>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</si>
  <si>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</si>
  <si>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</si>
  <si>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</si>
  <si>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</si>
  <si>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</si>
  <si>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</si>
  <si>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</si>
  <si>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</si>
  <si>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</si>
  <si>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</si>
  <si>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</si>
  <si>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</si>
  <si>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</si>
  <si>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</si>
  <si>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</si>
  <si>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</si>
  <si>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</si>
  <si>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</si>
  <si>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</si>
  <si>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</si>
  <si>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</si>
  <si>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</si>
  <si>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</si>
  <si>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</si>
  <si>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</si>
  <si>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</si>
  <si>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</si>
  <si>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</si>
  <si>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</si>
  <si>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</si>
  <si>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</si>
  <si>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</si>
  <si>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</si>
  <si>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</si>
  <si>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</si>
  <si>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</si>
  <si>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</si>
  <si>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</si>
  <si>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</si>
  <si>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</si>
  <si>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</si>
  <si>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</si>
  <si>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</si>
  <si>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</si>
  <si>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</si>
  <si>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</si>
  <si>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</si>
  <si>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</si>
  <si>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</si>
  <si>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</si>
  <si>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</si>
  <si>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</si>
  <si>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</si>
  <si>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</si>
  <si>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</si>
  <si>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</si>
  <si>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</si>
  <si>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</si>
  <si>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</si>
  <si>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</si>
  <si>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</si>
  <si>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</si>
  <si>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</si>
  <si>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</si>
  <si>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</si>
  <si>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</si>
  <si>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</si>
  <si>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</si>
  <si>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</si>
  <si>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</si>
  <si>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</si>
  <si>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</si>
  <si>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</si>
  <si>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</si>
  <si>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</si>
  <si>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</si>
  <si>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</si>
  <si>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</si>
  <si>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</si>
  <si>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</si>
  <si>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</si>
  <si>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</si>
  <si>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</si>
  <si>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</si>
  <si>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</si>
  <si>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</si>
  <si>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</si>
  <si>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</si>
  <si>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</si>
  <si>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</si>
  <si>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</si>
  <si>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</si>
  <si>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</si>
  <si>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</si>
  <si>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</si>
  <si>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</si>
  <si>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</si>
  <si>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</si>
  <si>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</si>
  <si>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</si>
  <si>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</si>
  <si>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</si>
  <si>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</si>
  <si>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</si>
  <si>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</si>
  <si>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</si>
  <si>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</si>
  <si>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</si>
  <si>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</si>
  <si>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</si>
  <si>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</si>
  <si>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</si>
  <si>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</si>
  <si>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</si>
  <si>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</si>
  <si>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</si>
  <si>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</si>
  <si>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</si>
  <si>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</si>
  <si>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</si>
  <si>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</si>
  <si>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</si>
  <si>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</si>
  <si>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</si>
  <si>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</si>
  <si>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</si>
  <si>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</si>
  <si>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</si>
  <si>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</si>
  <si>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</si>
  <si>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</si>
  <si>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</si>
  <si>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</si>
  <si>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</si>
  <si>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</si>
  <si>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</si>
  <si>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</si>
  <si>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</si>
  <si>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</si>
  <si>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</si>
  <si>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</si>
  <si>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</si>
  <si>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</si>
  <si>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</si>
  <si>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</si>
  <si>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</si>
  <si>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</si>
  <si>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</si>
  <si>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</si>
  <si>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</si>
  <si>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</si>
  <si>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</si>
  <si>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</si>
  <si>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</si>
  <si>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</si>
  <si>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</si>
  <si>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</si>
  <si>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</si>
  <si>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</si>
  <si>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</si>
  <si>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</si>
  <si>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</si>
  <si>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</si>
  <si>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</si>
  <si>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</si>
  <si>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</si>
  <si>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</si>
  <si>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</si>
  <si>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</si>
  <si>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</si>
  <si>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</si>
  <si>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</si>
  <si>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</si>
  <si>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</si>
  <si>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</si>
  <si>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</si>
  <si>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</si>
  <si>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</si>
  <si>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</si>
  <si>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</si>
  <si>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</si>
  <si>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</si>
  <si>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</si>
  <si>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</si>
  <si>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</si>
  <si>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</si>
  <si>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</si>
  <si>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</si>
  <si>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</si>
  <si>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</si>
  <si>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</si>
  <si>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</si>
  <si>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</si>
  <si>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</si>
  <si>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</si>
  <si>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</si>
  <si>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</si>
  <si>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</si>
  <si>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</si>
  <si>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</si>
  <si>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</si>
  <si>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</si>
  <si>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</si>
  <si>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</si>
  <si>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</si>
  <si>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</si>
  <si>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</si>
  <si>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</si>
  <si>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</si>
  <si>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 xml:space="preserve">8사단 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</si>
  <si>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</si>
  <si>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</si>
  <si>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</si>
  <si>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</si>
  <si>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</si>
  <si>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</si>
  <si>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</si>
  <si>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</si>
  <si>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</si>
  <si>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</si>
  <si>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</si>
  <si>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</si>
  <si>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</si>
  <si>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</si>
  <si>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</si>
  <si>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</si>
  <si>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</si>
  <si>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</si>
  <si>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</si>
  <si>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</si>
  <si>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</si>
  <si>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</si>
  <si>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</si>
  <si>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</si>
  <si>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</si>
  <si>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</si>
  <si>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</si>
  <si>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</si>
  <si>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</si>
  <si>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</si>
  <si>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</si>
  <si>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</si>
  <si>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</si>
  <si>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</si>
  <si>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</si>
  <si>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</si>
  <si>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</si>
  <si>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</si>
  <si>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</si>
  <si>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</si>
  <si>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</si>
  <si>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</si>
  <si>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</si>
  <si>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</si>
  <si>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</si>
  <si>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</si>
  <si>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</si>
  <si>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</si>
  <si>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</si>
  <si>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</si>
  <si>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</si>
  <si>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</si>
  <si>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</si>
  <si>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</si>
  <si>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</si>
  <si>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</si>
  <si>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</si>
  <si>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</si>
  <si>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</si>
  <si>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</si>
  <si>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</si>
  <si>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</si>
  <si>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</si>
  <si>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</si>
  <si>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</si>
  <si>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</si>
  <si>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</si>
  <si>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</si>
  <si>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</si>
  <si>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</si>
  <si>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</si>
  <si>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</si>
  <si>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</si>
  <si>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</si>
  <si>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</si>
  <si>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</si>
  <si>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</si>
  <si>
    <t>2함대</t>
    <phoneticPr fontId="3" type="noConversion"/>
  </si>
  <si>
    <t>어묵</t>
    <phoneticPr fontId="3" type="noConversion"/>
  </si>
  <si>
    <t>코주부어묵(볼)</t>
    <phoneticPr fontId="3" type="noConversion"/>
  </si>
  <si>
    <t>코주부어묵(사각)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</si>
</sst>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color rgb="FFFF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29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176" fontId="6" fillId="0" borderId="1" xfId="0" applyNumberFormat="1" applyFont="1" applyBorder="1" applyAlignment="1">
      <alignment horizontal="center" vertical="center"/>
    </xf>
    <xf numFmtId="41" fontId="4" fillId="0" borderId="1" xfId="2" applyFont="1" applyBorder="1" applyAlignment="1">
      <alignment horizontal="center" vertical="center"/>
    </xf>
    <xf numFmtId="41" fontId="6" fillId="0" borderId="1" xfId="2" applyFont="1" applyBorder="1" applyAlignment="1">
      <alignment horizontal="center" vertical="center"/>
    </xf>
    <xf numFmtId="41" fontId="6" fillId="2" borderId="1" xfId="2" applyFont="1" applyFill="1" applyBorder="1">
      <alignment vertical="center"/>
    </xf>
    <xf numFmtId="41" fontId="4" fillId="2" borderId="1" xfId="2" applyFont="1" applyFill="1" applyBorder="1">
      <alignment vertical="center"/>
    </xf>
    <xf numFmtId="41" fontId="9" fillId="2" borderId="1" xfId="2" applyFont="1" applyFill="1" applyBorder="1">
      <alignment vertical="center"/>
    </xf>
    <xf numFmtId="41" fontId="10" fillId="2" borderId="1" xfId="2" applyFont="1" applyFill="1" applyBorder="1">
      <alignment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1648"/>
  <sheetViews>
    <sheetView tabSelected="1" topLeftCell="A2" workbookViewId="0">
      <selection activeCell="F2" sqref="F2"/>
    </sheetView>
  </sheetViews>
  <sheetFormatPr defaultRowHeight="16.5" x14ac:dyDescent="0.3"/>
  <cols>
    <col min="1" max="1" width="11.875" bestFit="1" customWidth="1"/>
    <col min="2" max="2" width="14.125" bestFit="1" customWidth="1"/>
    <col min="3" max="3" width="14.125" customWidth="1"/>
    <col min="4" max="4" width="20.625" bestFit="1" customWidth="1"/>
    <col min="5" max="5" width="8.5" bestFit="1" customWidth="1"/>
    <col min="6" max="6" width="18.75" bestFit="1" customWidth="1"/>
    <col min="7" max="7" width="21.25" bestFit="1" customWidth="1"/>
  </cols>
  <sheetData>
    <row r="1" spans="1:7" ht="26.25" x14ac:dyDescent="0.3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7.25" x14ac:dyDescent="0.3">
      <c r="A2" s="22" t="s">
        <v>4</v>
      </c>
      <c r="B2" s="3" t="s">
        <v>5</v>
      </c>
      <c r="C2" s="4" t="s">
        <v>337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7.25" x14ac:dyDescent="0.3">
      <c r="A3" s="22" t="s">
        <v>7</v>
      </c>
      <c r="B3" s="3" t="s">
        <v>8</v>
      </c>
      <c r="C3" s="4" t="s">
        <v>337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7.25" x14ac:dyDescent="0.3">
      <c r="A4" s="22" t="s">
        <v>7</v>
      </c>
      <c r="B4" s="3" t="s">
        <v>8</v>
      </c>
      <c r="C4" s="4" t="s">
        <v>339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7.25" x14ac:dyDescent="0.3">
      <c r="A5" s="22" t="s">
        <v>7</v>
      </c>
      <c r="B5" s="3" t="s">
        <v>11</v>
      </c>
      <c r="C5" s="4" t="s">
        <v>337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7.25" x14ac:dyDescent="0.3">
      <c r="A6" s="3" t="s">
        <v>7</v>
      </c>
      <c r="B6" s="3" t="s">
        <v>11</v>
      </c>
      <c r="C6" s="4" t="s">
        <v>337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7.25" x14ac:dyDescent="0.3">
      <c r="A7" s="22" t="s">
        <v>7</v>
      </c>
      <c r="B7" s="3" t="s">
        <v>14</v>
      </c>
      <c r="C7" s="4" t="s">
        <v>344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7.25" x14ac:dyDescent="0.3">
      <c r="A8" s="22" t="s">
        <v>7</v>
      </c>
      <c r="B8" s="3" t="s">
        <v>16</v>
      </c>
      <c r="C8" s="4" t="s">
        <v>341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7.25" x14ac:dyDescent="0.3">
      <c r="A9" s="22" t="s">
        <v>7</v>
      </c>
      <c r="B9" s="3" t="s">
        <v>18</v>
      </c>
      <c r="C9" s="4" t="s">
        <v>337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7.25" x14ac:dyDescent="0.3">
      <c r="A10" s="22" t="s">
        <v>7</v>
      </c>
      <c r="B10" s="3" t="s">
        <v>19</v>
      </c>
      <c r="C10" s="4" t="s">
        <v>344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7.25" x14ac:dyDescent="0.3">
      <c r="A11" s="22" t="s">
        <v>7</v>
      </c>
      <c r="B11" s="3" t="s">
        <v>21</v>
      </c>
      <c r="C11" s="4" t="s">
        <v>337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7.25" x14ac:dyDescent="0.3">
      <c r="A12" s="22" t="s">
        <v>7</v>
      </c>
      <c r="B12" s="3" t="s">
        <v>21</v>
      </c>
      <c r="C12" s="4" t="s">
        <v>344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7.25" x14ac:dyDescent="0.3">
      <c r="A13" s="22" t="s">
        <v>7</v>
      </c>
      <c r="B13" s="3" t="s">
        <v>23</v>
      </c>
      <c r="C13" s="4" t="s">
        <v>337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7.25" x14ac:dyDescent="0.3">
      <c r="A14" s="22" t="s">
        <v>7</v>
      </c>
      <c r="B14" s="3" t="s">
        <v>24</v>
      </c>
      <c r="C14" s="4" t="s">
        <v>341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7.25" x14ac:dyDescent="0.3">
      <c r="A15" s="22" t="s">
        <v>7</v>
      </c>
      <c r="B15" s="3" t="s">
        <v>25</v>
      </c>
      <c r="C15" s="4" t="s">
        <v>337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7.25" x14ac:dyDescent="0.3">
      <c r="A16" s="22" t="s">
        <v>7</v>
      </c>
      <c r="B16" s="3" t="s">
        <v>25</v>
      </c>
      <c r="C16" s="4" t="s">
        <v>344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7.25" x14ac:dyDescent="0.3">
      <c r="A17" s="22" t="s">
        <v>7</v>
      </c>
      <c r="B17" s="3" t="s">
        <v>27</v>
      </c>
      <c r="C17" s="4" t="s">
        <v>338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7.25" x14ac:dyDescent="0.3">
      <c r="A18" s="22" t="s">
        <v>7</v>
      </c>
      <c r="B18" s="3" t="s">
        <v>29</v>
      </c>
      <c r="C18" s="4" t="s">
        <v>338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7.25" x14ac:dyDescent="0.3">
      <c r="A19" s="22" t="s">
        <v>7</v>
      </c>
      <c r="B19" s="3" t="s">
        <v>30</v>
      </c>
      <c r="C19" s="4" t="s">
        <v>337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7.25" x14ac:dyDescent="0.3">
      <c r="A20" s="22" t="s">
        <v>7</v>
      </c>
      <c r="B20" s="3" t="s">
        <v>30</v>
      </c>
      <c r="C20" s="4" t="s">
        <v>344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7.25" x14ac:dyDescent="0.3">
      <c r="A21" s="22" t="s">
        <v>7</v>
      </c>
      <c r="B21" s="3" t="s">
        <v>31</v>
      </c>
      <c r="C21" s="4" t="s">
        <v>344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7.25" x14ac:dyDescent="0.3">
      <c r="A22" s="3" t="s">
        <v>7</v>
      </c>
      <c r="B22" s="3" t="s">
        <v>33</v>
      </c>
      <c r="C22" s="4" t="s">
        <v>337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7.25" x14ac:dyDescent="0.3">
      <c r="A23" s="3" t="s">
        <v>7</v>
      </c>
      <c r="B23" s="3" t="s">
        <v>33</v>
      </c>
      <c r="C23" s="4" t="s">
        <v>344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7.25" x14ac:dyDescent="0.3">
      <c r="A24" s="22" t="s">
        <v>34</v>
      </c>
      <c r="B24" s="3" t="s">
        <v>8</v>
      </c>
      <c r="C24" s="4" t="s">
        <v>342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7.25" x14ac:dyDescent="0.3">
      <c r="A25" s="22" t="s">
        <v>34</v>
      </c>
      <c r="B25" s="3" t="s">
        <v>8</v>
      </c>
      <c r="C25" s="4" t="s">
        <v>338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7.25" x14ac:dyDescent="0.3">
      <c r="A26" s="22" t="s">
        <v>34</v>
      </c>
      <c r="B26" s="3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7.25" x14ac:dyDescent="0.3">
      <c r="A27" s="22" t="s">
        <v>34</v>
      </c>
      <c r="B27" s="3" t="s">
        <v>11</v>
      </c>
      <c r="C27" s="4" t="s">
        <v>344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7.25" x14ac:dyDescent="0.3">
      <c r="A28" s="22" t="s">
        <v>34</v>
      </c>
      <c r="B28" s="3" t="s">
        <v>16</v>
      </c>
      <c r="C28" s="4" t="s">
        <v>344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7.25" x14ac:dyDescent="0.3">
      <c r="A29" s="22" t="s">
        <v>34</v>
      </c>
      <c r="B29" s="3" t="s">
        <v>16</v>
      </c>
      <c r="C29" s="4" t="s">
        <v>341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7.25" x14ac:dyDescent="0.3">
      <c r="A30" s="22" t="s">
        <v>34</v>
      </c>
      <c r="B30" s="3" t="s">
        <v>27</v>
      </c>
      <c r="C30" s="4" t="s">
        <v>344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7.25" x14ac:dyDescent="0.3">
      <c r="A31" s="22" t="s">
        <v>34</v>
      </c>
      <c r="B31" s="3" t="s">
        <v>41</v>
      </c>
      <c r="C31" s="4" t="s">
        <v>344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7.25" x14ac:dyDescent="0.3">
      <c r="A32" s="22" t="s">
        <v>34</v>
      </c>
      <c r="B32" s="3" t="s">
        <v>43</v>
      </c>
      <c r="C32" s="4" t="s">
        <v>344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7.25" x14ac:dyDescent="0.3">
      <c r="A33" s="22" t="s">
        <v>34</v>
      </c>
      <c r="B33" s="3" t="s">
        <v>29</v>
      </c>
      <c r="C33" s="4" t="s">
        <v>344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7.25" x14ac:dyDescent="0.3">
      <c r="A34" s="22" t="s">
        <v>34</v>
      </c>
      <c r="B34" s="3" t="s">
        <v>30</v>
      </c>
      <c r="C34" s="4" t="s">
        <v>344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7.25" x14ac:dyDescent="0.3">
      <c r="A35" s="22" t="s">
        <v>34</v>
      </c>
      <c r="B35" s="3" t="s">
        <v>30</v>
      </c>
      <c r="C35" s="4" t="s">
        <v>343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7.25" x14ac:dyDescent="0.3">
      <c r="A36" s="22" t="s">
        <v>34</v>
      </c>
      <c r="B36" s="3" t="s">
        <v>46</v>
      </c>
      <c r="C36" s="4" t="s">
        <v>344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7.25" x14ac:dyDescent="0.3">
      <c r="A37" s="22" t="s">
        <v>34</v>
      </c>
      <c r="B37" s="3" t="s">
        <v>31</v>
      </c>
      <c r="C37" s="4" t="s">
        <v>343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7.25" x14ac:dyDescent="0.3">
      <c r="A38" s="3" t="s">
        <v>34</v>
      </c>
      <c r="B38" s="3" t="s">
        <v>33</v>
      </c>
      <c r="C38" s="4" t="s">
        <v>344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7.25" x14ac:dyDescent="0.3">
      <c r="A39" s="3" t="s">
        <v>34</v>
      </c>
      <c r="B39" s="3" t="s">
        <v>33</v>
      </c>
      <c r="C39" s="4" t="s">
        <v>343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7.25" x14ac:dyDescent="0.3">
      <c r="A40" s="22" t="s">
        <v>47</v>
      </c>
      <c r="B40" s="3" t="s">
        <v>48</v>
      </c>
      <c r="C40" s="4" t="s">
        <v>344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7.25" x14ac:dyDescent="0.3">
      <c r="A41" s="22" t="s">
        <v>47</v>
      </c>
      <c r="B41" s="3" t="s">
        <v>21</v>
      </c>
      <c r="C41" s="4" t="s">
        <v>340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7.25" x14ac:dyDescent="0.3">
      <c r="A42" s="22" t="s">
        <v>47</v>
      </c>
      <c r="B42" s="3" t="s">
        <v>21</v>
      </c>
      <c r="C42" s="4" t="s">
        <v>344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7.25" x14ac:dyDescent="0.3">
      <c r="A43" s="22" t="s">
        <v>47</v>
      </c>
      <c r="B43" s="3" t="s">
        <v>24</v>
      </c>
      <c r="C43" s="4" t="s">
        <v>341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7.25" x14ac:dyDescent="0.3">
      <c r="A44" s="22" t="s">
        <v>50</v>
      </c>
      <c r="B44" s="3" t="s">
        <v>48</v>
      </c>
      <c r="C44" s="4" t="s">
        <v>344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7.25" x14ac:dyDescent="0.3">
      <c r="A45" s="22" t="s">
        <v>50</v>
      </c>
      <c r="B45" s="3" t="s">
        <v>51</v>
      </c>
      <c r="C45" s="4" t="s">
        <v>337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7.25" x14ac:dyDescent="0.3">
      <c r="A46" s="22" t="s">
        <v>50</v>
      </c>
      <c r="B46" s="3" t="s">
        <v>14</v>
      </c>
      <c r="C46" s="4" t="s">
        <v>344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7.25" x14ac:dyDescent="0.3">
      <c r="A47" s="22" t="s">
        <v>50</v>
      </c>
      <c r="B47" s="3" t="s">
        <v>16</v>
      </c>
      <c r="C47" s="4" t="s">
        <v>344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7.25" x14ac:dyDescent="0.3">
      <c r="A48" s="22" t="s">
        <v>50</v>
      </c>
      <c r="B48" s="3" t="s">
        <v>41</v>
      </c>
      <c r="C48" s="4" t="s">
        <v>338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7.25" x14ac:dyDescent="0.3">
      <c r="A49" s="22" t="s">
        <v>50</v>
      </c>
      <c r="B49" s="3" t="s">
        <v>30</v>
      </c>
      <c r="C49" s="4" t="s">
        <v>337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7.25" x14ac:dyDescent="0.3">
      <c r="A50" s="22" t="s">
        <v>50</v>
      </c>
      <c r="B50" s="3" t="s">
        <v>46</v>
      </c>
      <c r="C50" s="4" t="s">
        <v>344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7.25" x14ac:dyDescent="0.3">
      <c r="A51" s="22" t="s">
        <v>50</v>
      </c>
      <c r="B51" s="3" t="s">
        <v>33</v>
      </c>
      <c r="C51" s="4" t="s">
        <v>337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7.25" x14ac:dyDescent="0.3">
      <c r="A52" s="22" t="s">
        <v>57</v>
      </c>
      <c r="B52" s="3" t="s">
        <v>16</v>
      </c>
      <c r="C52" s="4" t="s">
        <v>341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7.25" x14ac:dyDescent="0.3">
      <c r="A53" s="22" t="s">
        <v>58</v>
      </c>
      <c r="B53" s="3" t="s">
        <v>48</v>
      </c>
      <c r="C53" s="4" t="s">
        <v>344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7.25" x14ac:dyDescent="0.3">
      <c r="A54" s="22" t="s">
        <v>58</v>
      </c>
      <c r="B54" s="3" t="s">
        <v>60</v>
      </c>
      <c r="C54" s="4" t="s">
        <v>343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7.25" x14ac:dyDescent="0.3">
      <c r="A55" s="22" t="s">
        <v>58</v>
      </c>
      <c r="B55" s="3" t="s">
        <v>21</v>
      </c>
      <c r="C55" s="4" t="s">
        <v>344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7.25" x14ac:dyDescent="0.3">
      <c r="A56" s="22" t="s">
        <v>58</v>
      </c>
      <c r="B56" s="3" t="s">
        <v>23</v>
      </c>
      <c r="C56" s="4" t="s">
        <v>342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7.25" x14ac:dyDescent="0.3">
      <c r="A57" s="22" t="s">
        <v>58</v>
      </c>
      <c r="B57" s="3" t="s">
        <v>23</v>
      </c>
      <c r="C57" s="4" t="s">
        <v>342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7.25" x14ac:dyDescent="0.3">
      <c r="A58" s="22" t="s">
        <v>58</v>
      </c>
      <c r="B58" s="3" t="s">
        <v>24</v>
      </c>
      <c r="C58" s="4" t="s">
        <v>344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7.25" x14ac:dyDescent="0.3">
      <c r="A59" s="22" t="s">
        <v>58</v>
      </c>
      <c r="B59" s="3" t="s">
        <v>24</v>
      </c>
      <c r="C59" s="4" t="s">
        <v>341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7.25" x14ac:dyDescent="0.3">
      <c r="A60" s="22" t="s">
        <v>62</v>
      </c>
      <c r="B60" s="3" t="s">
        <v>63</v>
      </c>
      <c r="C60" s="4" t="s">
        <v>337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7.25" x14ac:dyDescent="0.3">
      <c r="A61" s="22" t="s">
        <v>62</v>
      </c>
      <c r="B61" s="3" t="s">
        <v>48</v>
      </c>
      <c r="C61" s="4" t="s">
        <v>344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7.25" x14ac:dyDescent="0.3">
      <c r="A62" s="22" t="s">
        <v>62</v>
      </c>
      <c r="B62" s="3" t="s">
        <v>48</v>
      </c>
      <c r="C62" s="4" t="s">
        <v>344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7.25" x14ac:dyDescent="0.3">
      <c r="A63" s="22" t="s">
        <v>62</v>
      </c>
      <c r="B63" s="3" t="s">
        <v>16</v>
      </c>
      <c r="C63" s="4" t="s">
        <v>341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7.25" x14ac:dyDescent="0.3">
      <c r="A64" s="3" t="s">
        <v>62</v>
      </c>
      <c r="B64" s="3" t="s">
        <v>11</v>
      </c>
      <c r="C64" s="4" t="s">
        <v>339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7.25" x14ac:dyDescent="0.3">
      <c r="A65" s="22" t="s">
        <v>62</v>
      </c>
      <c r="B65" s="3" t="s">
        <v>66</v>
      </c>
      <c r="C65" s="4" t="s">
        <v>339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7.25" x14ac:dyDescent="0.3">
      <c r="A66" s="22" t="s">
        <v>62</v>
      </c>
      <c r="B66" s="3" t="s">
        <v>23</v>
      </c>
      <c r="C66" s="4" t="s">
        <v>342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7.25" x14ac:dyDescent="0.3">
      <c r="A67" s="22" t="s">
        <v>62</v>
      </c>
      <c r="B67" s="3" t="s">
        <v>24</v>
      </c>
      <c r="C67" s="4" t="s">
        <v>341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7.25" x14ac:dyDescent="0.3">
      <c r="A68" s="22" t="s">
        <v>62</v>
      </c>
      <c r="B68" s="3" t="s">
        <v>25</v>
      </c>
      <c r="C68" s="4" t="s">
        <v>342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7.25" x14ac:dyDescent="0.3">
      <c r="A69" s="22" t="s">
        <v>62</v>
      </c>
      <c r="B69" s="3" t="s">
        <v>43</v>
      </c>
      <c r="C69" s="4" t="s">
        <v>342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7.25" x14ac:dyDescent="0.3">
      <c r="A70" s="22" t="s">
        <v>62</v>
      </c>
      <c r="B70" s="3" t="s">
        <v>43</v>
      </c>
      <c r="C70" s="4" t="s">
        <v>341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7.25" x14ac:dyDescent="0.3">
      <c r="A71" s="22" t="s">
        <v>62</v>
      </c>
      <c r="B71" s="3" t="s">
        <v>30</v>
      </c>
      <c r="C71" s="4" t="s">
        <v>344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7.25" x14ac:dyDescent="0.3">
      <c r="A72" s="22" t="s">
        <v>62</v>
      </c>
      <c r="B72" s="3" t="s">
        <v>69</v>
      </c>
      <c r="C72" s="4" t="s">
        <v>337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7.25" x14ac:dyDescent="0.3">
      <c r="A73" s="3" t="s">
        <v>62</v>
      </c>
      <c r="B73" s="3" t="s">
        <v>33</v>
      </c>
      <c r="C73" s="4" t="s">
        <v>344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7.25" x14ac:dyDescent="0.3">
      <c r="A74" s="3" t="s">
        <v>62</v>
      </c>
      <c r="B74" s="3" t="s">
        <v>23</v>
      </c>
      <c r="C74" s="4" t="s">
        <v>337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7.25" x14ac:dyDescent="0.3">
      <c r="A75" s="22" t="s">
        <v>72</v>
      </c>
      <c r="B75" s="3" t="s">
        <v>31</v>
      </c>
      <c r="C75" s="4" t="s">
        <v>339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7.25" x14ac:dyDescent="0.3">
      <c r="A76" s="22" t="s">
        <v>72</v>
      </c>
      <c r="B76" s="3" t="s">
        <v>48</v>
      </c>
      <c r="C76" s="4" t="s">
        <v>344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7.25" x14ac:dyDescent="0.3">
      <c r="A77" s="22" t="s">
        <v>72</v>
      </c>
      <c r="B77" s="3" t="s">
        <v>16</v>
      </c>
      <c r="C77" s="4" t="s">
        <v>341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7.25" x14ac:dyDescent="0.3">
      <c r="A78" s="22" t="s">
        <v>72</v>
      </c>
      <c r="B78" s="3" t="s">
        <v>19</v>
      </c>
      <c r="C78" s="4" t="s">
        <v>338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7.25" x14ac:dyDescent="0.3">
      <c r="A79" s="22" t="s">
        <v>72</v>
      </c>
      <c r="B79" s="3" t="s">
        <v>25</v>
      </c>
      <c r="C79" s="4" t="s">
        <v>344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7.25" x14ac:dyDescent="0.3">
      <c r="A80" s="22" t="s">
        <v>72</v>
      </c>
      <c r="B80" s="3" t="s">
        <v>27</v>
      </c>
      <c r="C80" s="4" t="s">
        <v>337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7.25" x14ac:dyDescent="0.3">
      <c r="A81" s="22" t="s">
        <v>72</v>
      </c>
      <c r="B81" s="3" t="s">
        <v>29</v>
      </c>
      <c r="C81" s="4" t="s">
        <v>337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7.25" x14ac:dyDescent="0.3">
      <c r="A82" s="22" t="s">
        <v>72</v>
      </c>
      <c r="B82" s="3" t="s">
        <v>46</v>
      </c>
      <c r="C82" s="4" t="s">
        <v>344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7.25" x14ac:dyDescent="0.3">
      <c r="A83" s="22" t="s">
        <v>74</v>
      </c>
      <c r="B83" s="3" t="s">
        <v>48</v>
      </c>
      <c r="C83" s="4" t="s">
        <v>344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7.25" x14ac:dyDescent="0.3">
      <c r="A84" s="22" t="s">
        <v>74</v>
      </c>
      <c r="B84" s="3" t="s">
        <v>75</v>
      </c>
      <c r="C84" s="4" t="s">
        <v>344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7.25" x14ac:dyDescent="0.3">
      <c r="A85" s="22" t="s">
        <v>74</v>
      </c>
      <c r="B85" s="3" t="s">
        <v>24</v>
      </c>
      <c r="C85" s="4" t="s">
        <v>341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7.25" x14ac:dyDescent="0.3">
      <c r="A86" s="3" t="s">
        <v>74</v>
      </c>
      <c r="B86" s="3" t="s">
        <v>21</v>
      </c>
      <c r="C86" s="4" t="s">
        <v>339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7.25" x14ac:dyDescent="0.3">
      <c r="A87" s="22" t="s">
        <v>77</v>
      </c>
      <c r="B87" s="3" t="s">
        <v>48</v>
      </c>
      <c r="C87" s="4" t="s">
        <v>344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7.25" x14ac:dyDescent="0.3">
      <c r="A88" s="22" t="s">
        <v>77</v>
      </c>
      <c r="B88" s="3" t="s">
        <v>8</v>
      </c>
      <c r="C88" s="4" t="s">
        <v>337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7.25" x14ac:dyDescent="0.3">
      <c r="A89" s="22" t="s">
        <v>77</v>
      </c>
      <c r="B89" s="3" t="s">
        <v>16</v>
      </c>
      <c r="C89" s="4" t="s">
        <v>344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7.25" x14ac:dyDescent="0.3">
      <c r="A90" s="22" t="s">
        <v>77</v>
      </c>
      <c r="B90" s="3" t="s">
        <v>25</v>
      </c>
      <c r="C90" s="4" t="s">
        <v>337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7.25" x14ac:dyDescent="0.3">
      <c r="A91" s="22" t="s">
        <v>77</v>
      </c>
      <c r="B91" s="3" t="s">
        <v>25</v>
      </c>
      <c r="C91" s="4" t="s">
        <v>337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7.25" x14ac:dyDescent="0.3">
      <c r="A92" s="22" t="s">
        <v>77</v>
      </c>
      <c r="B92" s="3" t="s">
        <v>25</v>
      </c>
      <c r="C92" s="4" t="s">
        <v>344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7.25" x14ac:dyDescent="0.3">
      <c r="A93" s="22" t="s">
        <v>77</v>
      </c>
      <c r="B93" s="3" t="s">
        <v>27</v>
      </c>
      <c r="C93" s="4" t="s">
        <v>339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7.25" x14ac:dyDescent="0.3">
      <c r="A94" s="22" t="s">
        <v>77</v>
      </c>
      <c r="B94" s="3" t="s">
        <v>43</v>
      </c>
      <c r="C94" s="4" t="s">
        <v>341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7.25" x14ac:dyDescent="0.3">
      <c r="A95" s="22" t="s">
        <v>77</v>
      </c>
      <c r="B95" s="3" t="s">
        <v>29</v>
      </c>
      <c r="C95" s="4" t="s">
        <v>339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7.25" x14ac:dyDescent="0.3">
      <c r="A96" s="22" t="s">
        <v>77</v>
      </c>
      <c r="B96" s="3" t="s">
        <v>30</v>
      </c>
      <c r="C96" s="4" t="s">
        <v>342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7.25" x14ac:dyDescent="0.3">
      <c r="A97" s="22" t="s">
        <v>77</v>
      </c>
      <c r="B97" s="3" t="s">
        <v>46</v>
      </c>
      <c r="C97" s="4" t="s">
        <v>342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7.25" x14ac:dyDescent="0.3">
      <c r="A98" s="22" t="s">
        <v>77</v>
      </c>
      <c r="B98" s="3" t="s">
        <v>31</v>
      </c>
      <c r="C98" s="4" t="s">
        <v>344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7.25" x14ac:dyDescent="0.3">
      <c r="A99" s="3" t="s">
        <v>77</v>
      </c>
      <c r="B99" s="3" t="s">
        <v>33</v>
      </c>
      <c r="C99" s="4" t="s">
        <v>342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7.25" x14ac:dyDescent="0.3">
      <c r="A100" s="22" t="s">
        <v>77</v>
      </c>
      <c r="B100" s="3" t="s">
        <v>23</v>
      </c>
      <c r="C100" s="4" t="s">
        <v>342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7.25" x14ac:dyDescent="0.3">
      <c r="A101" s="22" t="s">
        <v>77</v>
      </c>
      <c r="B101" s="3" t="s">
        <v>23</v>
      </c>
      <c r="C101" s="4" t="s">
        <v>342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7.25" x14ac:dyDescent="0.3">
      <c r="A102" s="3" t="s">
        <v>77</v>
      </c>
      <c r="B102" s="3" t="s">
        <v>23</v>
      </c>
      <c r="C102" s="4" t="s">
        <v>340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7.25" x14ac:dyDescent="0.3">
      <c r="A103" s="3" t="s">
        <v>77</v>
      </c>
      <c r="B103" s="3" t="s">
        <v>51</v>
      </c>
      <c r="C103" s="4" t="s">
        <v>344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7.25" x14ac:dyDescent="0.3">
      <c r="A104" s="22" t="s">
        <v>81</v>
      </c>
      <c r="B104" s="3" t="s">
        <v>60</v>
      </c>
      <c r="C104" s="4" t="s">
        <v>342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7.25" x14ac:dyDescent="0.3">
      <c r="A105" s="22" t="s">
        <v>81</v>
      </c>
      <c r="B105" s="3" t="s">
        <v>60</v>
      </c>
      <c r="C105" s="4" t="s">
        <v>337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7.25" x14ac:dyDescent="0.3">
      <c r="A106" s="22" t="s">
        <v>81</v>
      </c>
      <c r="B106" s="3" t="s">
        <v>75</v>
      </c>
      <c r="C106" s="4" t="s">
        <v>344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7.25" x14ac:dyDescent="0.3">
      <c r="A107" s="22" t="s">
        <v>81</v>
      </c>
      <c r="B107" s="3" t="s">
        <v>21</v>
      </c>
      <c r="C107" s="4" t="s">
        <v>344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7.25" x14ac:dyDescent="0.3">
      <c r="A108" s="22" t="s">
        <v>81</v>
      </c>
      <c r="B108" s="3" t="s">
        <v>24</v>
      </c>
      <c r="C108" s="4" t="s">
        <v>341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7.25" x14ac:dyDescent="0.3">
      <c r="A109" s="22" t="s">
        <v>82</v>
      </c>
      <c r="B109" s="3" t="s">
        <v>63</v>
      </c>
      <c r="C109" s="4" t="s">
        <v>344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7.25" x14ac:dyDescent="0.3">
      <c r="A110" s="22" t="s">
        <v>82</v>
      </c>
      <c r="B110" s="3" t="s">
        <v>8</v>
      </c>
      <c r="C110" s="4" t="s">
        <v>342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7.25" x14ac:dyDescent="0.3">
      <c r="A111" s="22" t="s">
        <v>82</v>
      </c>
      <c r="B111" s="3" t="s">
        <v>75</v>
      </c>
      <c r="C111" s="4" t="s">
        <v>344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7.25" x14ac:dyDescent="0.3">
      <c r="A112" s="22" t="s">
        <v>82</v>
      </c>
      <c r="B112" s="3" t="s">
        <v>14</v>
      </c>
      <c r="C112" s="4" t="s">
        <v>344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7.25" x14ac:dyDescent="0.3">
      <c r="A113" s="22" t="s">
        <v>82</v>
      </c>
      <c r="B113" s="3" t="s">
        <v>16</v>
      </c>
      <c r="C113" s="4" t="s">
        <v>341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7.25" x14ac:dyDescent="0.3">
      <c r="A114" s="22" t="s">
        <v>82</v>
      </c>
      <c r="B114" s="3" t="s">
        <v>5</v>
      </c>
      <c r="C114" s="4" t="s">
        <v>338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7.25" x14ac:dyDescent="0.3">
      <c r="A115" s="22" t="s">
        <v>82</v>
      </c>
      <c r="B115" s="3" t="s">
        <v>5</v>
      </c>
      <c r="C115" s="4" t="s">
        <v>337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7.25" x14ac:dyDescent="0.3">
      <c r="A116" s="22" t="s">
        <v>82</v>
      </c>
      <c r="B116" s="3" t="s">
        <v>19</v>
      </c>
      <c r="C116" s="4" t="s">
        <v>338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7.25" x14ac:dyDescent="0.3">
      <c r="A117" s="22" t="s">
        <v>82</v>
      </c>
      <c r="B117" s="3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7.25" x14ac:dyDescent="0.3">
      <c r="A118" s="22" t="s">
        <v>82</v>
      </c>
      <c r="B118" s="3" t="s">
        <v>23</v>
      </c>
      <c r="C118" s="4" t="s">
        <v>342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7.25" x14ac:dyDescent="0.3">
      <c r="A119" s="22" t="s">
        <v>82</v>
      </c>
      <c r="B119" s="3" t="s">
        <v>24</v>
      </c>
      <c r="C119" s="4" t="s">
        <v>341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7.25" x14ac:dyDescent="0.3">
      <c r="A120" s="22" t="s">
        <v>82</v>
      </c>
      <c r="B120" s="3" t="s">
        <v>25</v>
      </c>
      <c r="C120" s="4" t="s">
        <v>337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7.25" x14ac:dyDescent="0.3">
      <c r="A121" s="22" t="s">
        <v>82</v>
      </c>
      <c r="B121" s="3" t="s">
        <v>43</v>
      </c>
      <c r="C121" s="4" t="s">
        <v>341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7.25" x14ac:dyDescent="0.3">
      <c r="A122" s="22" t="s">
        <v>82</v>
      </c>
      <c r="B122" s="3" t="s">
        <v>69</v>
      </c>
      <c r="C122" s="4" t="s">
        <v>342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7.25" x14ac:dyDescent="0.3">
      <c r="A123" s="22" t="s">
        <v>85</v>
      </c>
      <c r="B123" s="3" t="s">
        <v>63</v>
      </c>
      <c r="C123" s="4" t="s">
        <v>337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7.25" x14ac:dyDescent="0.3">
      <c r="A124" s="22" t="s">
        <v>85</v>
      </c>
      <c r="B124" s="3" t="s">
        <v>11</v>
      </c>
      <c r="C124" s="4" t="s">
        <v>337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7.25" x14ac:dyDescent="0.3">
      <c r="A125" s="22" t="s">
        <v>85</v>
      </c>
      <c r="B125" s="3" t="s">
        <v>51</v>
      </c>
      <c r="C125" s="4" t="s">
        <v>343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7.25" x14ac:dyDescent="0.3">
      <c r="A126" s="22" t="s">
        <v>85</v>
      </c>
      <c r="B126" s="3" t="s">
        <v>16</v>
      </c>
      <c r="C126" s="4" t="s">
        <v>341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7.25" x14ac:dyDescent="0.3">
      <c r="A127" s="22" t="s">
        <v>85</v>
      </c>
      <c r="B127" s="3" t="s">
        <v>18</v>
      </c>
      <c r="C127" s="4" t="s">
        <v>338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7.25" x14ac:dyDescent="0.3">
      <c r="A128" s="22" t="s">
        <v>85</v>
      </c>
      <c r="B128" s="3" t="s">
        <v>18</v>
      </c>
      <c r="C128" s="4" t="s">
        <v>337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7.25" x14ac:dyDescent="0.3">
      <c r="A129" s="22" t="s">
        <v>85</v>
      </c>
      <c r="B129" s="3" t="s">
        <v>25</v>
      </c>
      <c r="C129" s="4" t="s">
        <v>344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7.25" x14ac:dyDescent="0.3">
      <c r="A130" s="22" t="s">
        <v>85</v>
      </c>
      <c r="B130" s="3" t="s">
        <v>46</v>
      </c>
      <c r="C130" s="4" t="s">
        <v>337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7.25" x14ac:dyDescent="0.3">
      <c r="A131" s="22" t="s">
        <v>87</v>
      </c>
      <c r="B131" s="3" t="s">
        <v>48</v>
      </c>
      <c r="C131" s="4" t="s">
        <v>344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7.25" x14ac:dyDescent="0.3">
      <c r="A132" s="22" t="s">
        <v>87</v>
      </c>
      <c r="B132" s="3" t="s">
        <v>23</v>
      </c>
      <c r="C132" s="4" t="s">
        <v>344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7.25" x14ac:dyDescent="0.3">
      <c r="A133" s="22" t="s">
        <v>87</v>
      </c>
      <c r="B133" s="3" t="s">
        <v>23</v>
      </c>
      <c r="C133" s="4" t="s">
        <v>344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7.25" x14ac:dyDescent="0.3">
      <c r="A134" s="22" t="s">
        <v>87</v>
      </c>
      <c r="B134" s="3" t="s">
        <v>23</v>
      </c>
      <c r="C134" s="4" t="s">
        <v>342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7.25" x14ac:dyDescent="0.3">
      <c r="A135" s="22" t="s">
        <v>87</v>
      </c>
      <c r="B135" s="3" t="s">
        <v>23</v>
      </c>
      <c r="C135" s="4" t="s">
        <v>342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7.25" x14ac:dyDescent="0.3">
      <c r="A136" s="22" t="s">
        <v>87</v>
      </c>
      <c r="B136" s="3" t="s">
        <v>24</v>
      </c>
      <c r="C136" s="4" t="s">
        <v>341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7.25" x14ac:dyDescent="0.3">
      <c r="A137" s="22" t="s">
        <v>88</v>
      </c>
      <c r="B137" s="3" t="s">
        <v>48</v>
      </c>
      <c r="C137" s="4" t="s">
        <v>344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7.25" x14ac:dyDescent="0.3">
      <c r="A138" s="22" t="s">
        <v>88</v>
      </c>
      <c r="B138" s="3" t="s">
        <v>8</v>
      </c>
      <c r="C138" s="4" t="s">
        <v>344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7.25" x14ac:dyDescent="0.3">
      <c r="A139" s="22" t="s">
        <v>88</v>
      </c>
      <c r="B139" s="3" t="s">
        <v>11</v>
      </c>
      <c r="C139" s="4" t="s">
        <v>339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7.25" x14ac:dyDescent="0.3">
      <c r="A140" s="22" t="s">
        <v>88</v>
      </c>
      <c r="B140" s="3" t="s">
        <v>11</v>
      </c>
      <c r="C140" s="4" t="s">
        <v>337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7.25" x14ac:dyDescent="0.3">
      <c r="A141" s="22" t="s">
        <v>88</v>
      </c>
      <c r="B141" s="3" t="s">
        <v>66</v>
      </c>
      <c r="C141" s="4" t="s">
        <v>337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7.25" x14ac:dyDescent="0.3">
      <c r="A142" s="22" t="s">
        <v>88</v>
      </c>
      <c r="B142" s="3" t="s">
        <v>16</v>
      </c>
      <c r="C142" s="4" t="s">
        <v>344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7.25" x14ac:dyDescent="0.3">
      <c r="A143" s="22" t="s">
        <v>88</v>
      </c>
      <c r="B143" s="3" t="s">
        <v>16</v>
      </c>
      <c r="C143" s="4" t="s">
        <v>341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7.25" x14ac:dyDescent="0.3">
      <c r="A144" s="22" t="s">
        <v>88</v>
      </c>
      <c r="B144" s="3" t="s">
        <v>23</v>
      </c>
      <c r="C144" s="4" t="s">
        <v>344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7.25" x14ac:dyDescent="0.3">
      <c r="A145" s="22" t="s">
        <v>88</v>
      </c>
      <c r="B145" s="3" t="s">
        <v>23</v>
      </c>
      <c r="C145" s="4" t="s">
        <v>342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7.25" x14ac:dyDescent="0.3">
      <c r="A146" s="22" t="s">
        <v>88</v>
      </c>
      <c r="B146" s="3" t="s">
        <v>25</v>
      </c>
      <c r="C146" s="4" t="s">
        <v>337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7.25" x14ac:dyDescent="0.3">
      <c r="A147" s="22" t="s">
        <v>88</v>
      </c>
      <c r="B147" s="3" t="s">
        <v>41</v>
      </c>
      <c r="C147" s="4" t="s">
        <v>338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7.25" x14ac:dyDescent="0.3">
      <c r="A148" s="22" t="s">
        <v>88</v>
      </c>
      <c r="B148" s="3" t="s">
        <v>30</v>
      </c>
      <c r="C148" s="4" t="s">
        <v>337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7.25" x14ac:dyDescent="0.3">
      <c r="A149" s="22" t="s">
        <v>88</v>
      </c>
      <c r="B149" s="3" t="s">
        <v>30</v>
      </c>
      <c r="C149" s="4" t="s">
        <v>337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7.25" x14ac:dyDescent="0.3">
      <c r="A150" s="22" t="s">
        <v>88</v>
      </c>
      <c r="B150" s="3" t="s">
        <v>8</v>
      </c>
      <c r="C150" s="4" t="s">
        <v>339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7.25" x14ac:dyDescent="0.3">
      <c r="A151" s="22" t="s">
        <v>88</v>
      </c>
      <c r="B151" s="3" t="s">
        <v>46</v>
      </c>
      <c r="C151" s="4" t="s">
        <v>342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7.25" x14ac:dyDescent="0.3">
      <c r="A152" s="3" t="s">
        <v>88</v>
      </c>
      <c r="B152" s="3" t="s">
        <v>33</v>
      </c>
      <c r="C152" s="4" t="s">
        <v>337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7.25" x14ac:dyDescent="0.3">
      <c r="A153" s="3" t="s">
        <v>88</v>
      </c>
      <c r="B153" s="3" t="s">
        <v>33</v>
      </c>
      <c r="C153" s="4" t="s">
        <v>337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7.25" x14ac:dyDescent="0.3">
      <c r="A154" s="22" t="s">
        <v>91</v>
      </c>
      <c r="B154" s="3" t="s">
        <v>60</v>
      </c>
      <c r="C154" s="4" t="s">
        <v>337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7.25" x14ac:dyDescent="0.3">
      <c r="A155" s="22" t="s">
        <v>91</v>
      </c>
      <c r="B155" s="3" t="s">
        <v>60</v>
      </c>
      <c r="C155" s="4" t="s">
        <v>344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7.25" x14ac:dyDescent="0.3">
      <c r="A156" s="22" t="s">
        <v>91</v>
      </c>
      <c r="B156" s="3" t="s">
        <v>21</v>
      </c>
      <c r="C156" s="4" t="s">
        <v>344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7.25" x14ac:dyDescent="0.3">
      <c r="A157" s="22" t="s">
        <v>91</v>
      </c>
      <c r="B157" s="3" t="s">
        <v>24</v>
      </c>
      <c r="C157" s="4" t="s">
        <v>344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7.25" x14ac:dyDescent="0.3">
      <c r="A158" s="22" t="s">
        <v>91</v>
      </c>
      <c r="B158" s="3" t="s">
        <v>24</v>
      </c>
      <c r="C158" s="4" t="s">
        <v>341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7.25" x14ac:dyDescent="0.3">
      <c r="A159" s="22" t="s">
        <v>92</v>
      </c>
      <c r="B159" s="3" t="s">
        <v>8</v>
      </c>
      <c r="C159" s="4" t="s">
        <v>342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7.25" x14ac:dyDescent="0.3">
      <c r="A160" s="22" t="s">
        <v>92</v>
      </c>
      <c r="B160" s="3" t="s">
        <v>11</v>
      </c>
      <c r="C160" s="4" t="s">
        <v>344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7.25" x14ac:dyDescent="0.3">
      <c r="A161" s="22" t="s">
        <v>92</v>
      </c>
      <c r="B161" s="3" t="s">
        <v>75</v>
      </c>
      <c r="C161" s="4" t="s">
        <v>342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7.25" x14ac:dyDescent="0.3">
      <c r="A162" s="22" t="s">
        <v>92</v>
      </c>
      <c r="B162" s="3" t="s">
        <v>16</v>
      </c>
      <c r="C162" s="4" t="s">
        <v>341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7.25" x14ac:dyDescent="0.3">
      <c r="A163" s="22" t="s">
        <v>92</v>
      </c>
      <c r="B163" s="3" t="s">
        <v>93</v>
      </c>
      <c r="C163" s="4" t="s">
        <v>337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7.25" x14ac:dyDescent="0.3">
      <c r="A164" s="22" t="s">
        <v>92</v>
      </c>
      <c r="B164" s="3" t="s">
        <v>95</v>
      </c>
      <c r="C164" s="4" t="s">
        <v>337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7.25" x14ac:dyDescent="0.3">
      <c r="A165" s="22" t="s">
        <v>92</v>
      </c>
      <c r="B165" s="3" t="s">
        <v>24</v>
      </c>
      <c r="C165" s="4" t="s">
        <v>344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7.25" x14ac:dyDescent="0.3">
      <c r="A166" s="22" t="s">
        <v>92</v>
      </c>
      <c r="B166" s="3" t="s">
        <v>27</v>
      </c>
      <c r="C166" s="4" t="s">
        <v>338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7.25" x14ac:dyDescent="0.3">
      <c r="A167" s="22" t="s">
        <v>92</v>
      </c>
      <c r="B167" s="3" t="s">
        <v>27</v>
      </c>
      <c r="C167" s="4" t="s">
        <v>344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7.25" x14ac:dyDescent="0.3">
      <c r="A168" s="22" t="s">
        <v>92</v>
      </c>
      <c r="B168" s="3" t="s">
        <v>29</v>
      </c>
      <c r="C168" s="4" t="s">
        <v>344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7.25" x14ac:dyDescent="0.3">
      <c r="A169" s="22" t="s">
        <v>92</v>
      </c>
      <c r="B169" s="3" t="s">
        <v>29</v>
      </c>
      <c r="C169" s="4" t="s">
        <v>338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7.25" x14ac:dyDescent="0.3">
      <c r="A170" s="22" t="s">
        <v>92</v>
      </c>
      <c r="B170" s="3" t="s">
        <v>30</v>
      </c>
      <c r="C170" s="4" t="s">
        <v>344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7.25" x14ac:dyDescent="0.3">
      <c r="A171" s="22" t="s">
        <v>92</v>
      </c>
      <c r="B171" s="3" t="s">
        <v>30</v>
      </c>
      <c r="C171" s="4" t="s">
        <v>344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7.25" x14ac:dyDescent="0.3">
      <c r="A172" s="3" t="s">
        <v>92</v>
      </c>
      <c r="B172" s="3" t="s">
        <v>33</v>
      </c>
      <c r="C172" s="4" t="s">
        <v>344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7.25" x14ac:dyDescent="0.3">
      <c r="A173" s="3" t="s">
        <v>92</v>
      </c>
      <c r="B173" s="3" t="s">
        <v>33</v>
      </c>
      <c r="C173" s="4" t="s">
        <v>344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7.25" x14ac:dyDescent="0.3">
      <c r="A174" s="3" t="s">
        <v>92</v>
      </c>
      <c r="B174" s="3" t="s">
        <v>48</v>
      </c>
      <c r="C174" s="4" t="s">
        <v>340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7.25" x14ac:dyDescent="0.3">
      <c r="A175" s="22" t="s">
        <v>96</v>
      </c>
      <c r="B175" s="3" t="s">
        <v>8</v>
      </c>
      <c r="C175" s="4" t="s">
        <v>337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7.25" x14ac:dyDescent="0.3">
      <c r="A176" s="22" t="s">
        <v>96</v>
      </c>
      <c r="B176" s="3" t="s">
        <v>14</v>
      </c>
      <c r="C176" s="4" t="s">
        <v>337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7.25" x14ac:dyDescent="0.3">
      <c r="A177" s="22" t="s">
        <v>96</v>
      </c>
      <c r="B177" s="3" t="s">
        <v>14</v>
      </c>
      <c r="C177" s="4" t="s">
        <v>344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7.25" x14ac:dyDescent="0.3">
      <c r="A178" s="22" t="s">
        <v>96</v>
      </c>
      <c r="B178" s="3" t="s">
        <v>16</v>
      </c>
      <c r="C178" s="4" t="s">
        <v>341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7.25" x14ac:dyDescent="0.3">
      <c r="A179" s="22" t="s">
        <v>96</v>
      </c>
      <c r="B179" s="3" t="s">
        <v>16</v>
      </c>
      <c r="C179" s="4" t="s">
        <v>344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7.25" x14ac:dyDescent="0.3">
      <c r="A180" s="22" t="s">
        <v>96</v>
      </c>
      <c r="B180" s="3" t="s">
        <v>19</v>
      </c>
      <c r="C180" s="4" t="s">
        <v>344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7.25" x14ac:dyDescent="0.3">
      <c r="A181" s="22" t="s">
        <v>96</v>
      </c>
      <c r="B181" s="3" t="s">
        <v>30</v>
      </c>
      <c r="C181" s="4" t="s">
        <v>338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7.25" x14ac:dyDescent="0.3">
      <c r="A182" s="22" t="s">
        <v>96</v>
      </c>
      <c r="B182" s="3" t="s">
        <v>30</v>
      </c>
      <c r="C182" s="4" t="s">
        <v>344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7.25" x14ac:dyDescent="0.3">
      <c r="A183" s="3" t="s">
        <v>96</v>
      </c>
      <c r="B183" s="3" t="s">
        <v>33</v>
      </c>
      <c r="C183" s="4" t="s">
        <v>338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7.25" x14ac:dyDescent="0.3">
      <c r="A184" s="3" t="s">
        <v>96</v>
      </c>
      <c r="B184" s="3" t="s">
        <v>33</v>
      </c>
      <c r="C184" s="4" t="s">
        <v>344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7.25" x14ac:dyDescent="0.3">
      <c r="A185" s="3" t="s">
        <v>96</v>
      </c>
      <c r="B185" s="3" t="s">
        <v>18</v>
      </c>
      <c r="C185" s="4" t="s">
        <v>339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7.25" x14ac:dyDescent="0.3">
      <c r="A186" s="22" t="s">
        <v>98</v>
      </c>
      <c r="B186" s="3" t="s">
        <v>60</v>
      </c>
      <c r="C186" s="4" t="s">
        <v>337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7.25" x14ac:dyDescent="0.3">
      <c r="A187" s="22" t="s">
        <v>98</v>
      </c>
      <c r="B187" s="3" t="s">
        <v>24</v>
      </c>
      <c r="C187" s="4" t="s">
        <v>341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7.25" x14ac:dyDescent="0.3">
      <c r="A188" s="22" t="s">
        <v>98</v>
      </c>
      <c r="B188" s="3" t="s">
        <v>99</v>
      </c>
      <c r="C188" s="4" t="s">
        <v>342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7.25" x14ac:dyDescent="0.3">
      <c r="A189" s="3" t="s">
        <v>98</v>
      </c>
      <c r="B189" s="3" t="s">
        <v>21</v>
      </c>
      <c r="C189" s="4" t="s">
        <v>339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7.25" x14ac:dyDescent="0.3">
      <c r="A190" s="22" t="s">
        <v>100</v>
      </c>
      <c r="B190" s="3" t="s">
        <v>8</v>
      </c>
      <c r="C190" s="4" t="s">
        <v>342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7.25" x14ac:dyDescent="0.3">
      <c r="A191" s="22" t="s">
        <v>100</v>
      </c>
      <c r="B191" s="3" t="s">
        <v>8</v>
      </c>
      <c r="C191" s="4" t="s">
        <v>337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7.25" x14ac:dyDescent="0.3">
      <c r="A192" s="22" t="s">
        <v>100</v>
      </c>
      <c r="B192" s="3" t="s">
        <v>14</v>
      </c>
      <c r="C192" s="4" t="s">
        <v>344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7.25" x14ac:dyDescent="0.3">
      <c r="A193" s="22" t="s">
        <v>100</v>
      </c>
      <c r="B193" s="3" t="s">
        <v>16</v>
      </c>
      <c r="C193" s="4" t="s">
        <v>337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7.25" x14ac:dyDescent="0.3">
      <c r="A194" s="22" t="s">
        <v>100</v>
      </c>
      <c r="B194" s="3" t="s">
        <v>16</v>
      </c>
      <c r="C194" s="4" t="s">
        <v>341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7.25" x14ac:dyDescent="0.3">
      <c r="A195" s="22" t="s">
        <v>100</v>
      </c>
      <c r="B195" s="3" t="s">
        <v>93</v>
      </c>
      <c r="C195" s="4" t="s">
        <v>344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7.25" x14ac:dyDescent="0.3">
      <c r="A196" s="22" t="s">
        <v>100</v>
      </c>
      <c r="B196" s="3" t="s">
        <v>95</v>
      </c>
      <c r="C196" s="4" t="s">
        <v>344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7.25" x14ac:dyDescent="0.3">
      <c r="A197" s="22" t="s">
        <v>100</v>
      </c>
      <c r="B197" s="3" t="s">
        <v>25</v>
      </c>
      <c r="C197" s="4" t="s">
        <v>344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7.25" x14ac:dyDescent="0.3">
      <c r="A198" s="22" t="s">
        <v>100</v>
      </c>
      <c r="B198" s="3" t="s">
        <v>102</v>
      </c>
      <c r="C198" s="4" t="s">
        <v>344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7.25" x14ac:dyDescent="0.3">
      <c r="A199" s="22" t="s">
        <v>100</v>
      </c>
      <c r="B199" s="3" t="s">
        <v>43</v>
      </c>
      <c r="C199" s="4" t="s">
        <v>341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7.25" x14ac:dyDescent="0.3">
      <c r="A200" s="22" t="s">
        <v>100</v>
      </c>
      <c r="B200" s="3" t="s">
        <v>103</v>
      </c>
      <c r="C200" s="4" t="s">
        <v>342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7.25" x14ac:dyDescent="0.3">
      <c r="A201" s="22" t="s">
        <v>100</v>
      </c>
      <c r="B201" s="3" t="s">
        <v>46</v>
      </c>
      <c r="C201" s="4" t="s">
        <v>344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7.25" x14ac:dyDescent="0.3">
      <c r="A202" s="22" t="s">
        <v>100</v>
      </c>
      <c r="B202" s="3" t="s">
        <v>69</v>
      </c>
      <c r="C202" s="4" t="s">
        <v>337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7.25" x14ac:dyDescent="0.3">
      <c r="A203" s="3" t="s">
        <v>104</v>
      </c>
      <c r="B203" s="3" t="s">
        <v>48</v>
      </c>
      <c r="C203" s="4" t="s">
        <v>337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7.25" x14ac:dyDescent="0.3">
      <c r="A204" s="3" t="s">
        <v>104</v>
      </c>
      <c r="B204" s="3" t="s">
        <v>21</v>
      </c>
      <c r="C204" s="4" t="s">
        <v>344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7.25" x14ac:dyDescent="0.3">
      <c r="A205" s="3" t="s">
        <v>104</v>
      </c>
      <c r="B205" s="3" t="s">
        <v>24</v>
      </c>
      <c r="C205" s="4" t="s">
        <v>337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7.25" x14ac:dyDescent="0.3">
      <c r="A206" s="3" t="s">
        <v>104</v>
      </c>
      <c r="B206" s="3" t="s">
        <v>24</v>
      </c>
      <c r="C206" s="4" t="s">
        <v>344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7.25" x14ac:dyDescent="0.3">
      <c r="A207" s="3" t="s">
        <v>104</v>
      </c>
      <c r="B207" s="3" t="s">
        <v>30</v>
      </c>
      <c r="C207" s="4" t="s">
        <v>339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7.25" x14ac:dyDescent="0.3">
      <c r="A208" s="3" t="s">
        <v>104</v>
      </c>
      <c r="B208" s="3" t="s">
        <v>23</v>
      </c>
      <c r="C208" s="4" t="s">
        <v>342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7.25" x14ac:dyDescent="0.3">
      <c r="A209" s="3" t="s">
        <v>104</v>
      </c>
      <c r="B209" s="3" t="s">
        <v>23</v>
      </c>
      <c r="C209" s="4" t="s">
        <v>342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7.25" x14ac:dyDescent="0.3">
      <c r="A210" s="22" t="s">
        <v>105</v>
      </c>
      <c r="B210" s="3" t="s">
        <v>63</v>
      </c>
      <c r="C210" s="4" t="s">
        <v>342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7.25" x14ac:dyDescent="0.3">
      <c r="A211" s="22" t="s">
        <v>105</v>
      </c>
      <c r="B211" s="3" t="s">
        <v>16</v>
      </c>
      <c r="C211" s="4" t="s">
        <v>344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7.25" x14ac:dyDescent="0.3">
      <c r="A212" s="22" t="s">
        <v>105</v>
      </c>
      <c r="B212" s="3" t="s">
        <v>27</v>
      </c>
      <c r="C212" s="4" t="s">
        <v>337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7.25" x14ac:dyDescent="0.3">
      <c r="A213" s="22" t="s">
        <v>105</v>
      </c>
      <c r="B213" s="3" t="s">
        <v>43</v>
      </c>
      <c r="C213" s="4" t="s">
        <v>342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7.25" x14ac:dyDescent="0.3">
      <c r="A214" s="22" t="s">
        <v>100</v>
      </c>
      <c r="B214" s="3" t="s">
        <v>29</v>
      </c>
      <c r="C214" s="4" t="s">
        <v>337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7.25" x14ac:dyDescent="0.3">
      <c r="A215" s="22" t="s">
        <v>105</v>
      </c>
      <c r="B215" s="3" t="s">
        <v>30</v>
      </c>
      <c r="C215" s="4" t="s">
        <v>344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7.25" x14ac:dyDescent="0.3">
      <c r="A216" s="22" t="s">
        <v>105</v>
      </c>
      <c r="B216" s="3" t="s">
        <v>46</v>
      </c>
      <c r="C216" s="4" t="s">
        <v>344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7.25" x14ac:dyDescent="0.3">
      <c r="A217" s="3" t="s">
        <v>105</v>
      </c>
      <c r="B217" s="3" t="s">
        <v>33</v>
      </c>
      <c r="C217" s="4" t="s">
        <v>344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7.25" x14ac:dyDescent="0.3">
      <c r="A218" s="3" t="s">
        <v>105</v>
      </c>
      <c r="B218" s="3" t="s">
        <v>48</v>
      </c>
      <c r="C218" s="4" t="s">
        <v>337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7.25" x14ac:dyDescent="0.3">
      <c r="A219" s="3" t="s">
        <v>105</v>
      </c>
      <c r="B219" s="3" t="s">
        <v>48</v>
      </c>
      <c r="C219" s="4" t="s">
        <v>344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7.25" x14ac:dyDescent="0.3">
      <c r="A220" s="3" t="s">
        <v>105</v>
      </c>
      <c r="B220" s="3" t="s">
        <v>48</v>
      </c>
      <c r="C220" s="4" t="s">
        <v>337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7.25" x14ac:dyDescent="0.3">
      <c r="A221" s="3" t="s">
        <v>105</v>
      </c>
      <c r="B221" s="3" t="s">
        <v>24</v>
      </c>
      <c r="C221" s="4" t="s">
        <v>344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7.25" x14ac:dyDescent="0.3">
      <c r="A222" s="3" t="s">
        <v>105</v>
      </c>
      <c r="B222" s="3" t="s">
        <v>8</v>
      </c>
      <c r="C222" s="4" t="s">
        <v>338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7.25" x14ac:dyDescent="0.3">
      <c r="A223" s="3" t="s">
        <v>105</v>
      </c>
      <c r="B223" s="3" t="s">
        <v>29</v>
      </c>
      <c r="C223" s="4" t="s">
        <v>344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7.25" x14ac:dyDescent="0.3">
      <c r="A224" s="22" t="s">
        <v>105</v>
      </c>
      <c r="B224" s="3" t="s">
        <v>23</v>
      </c>
      <c r="C224" s="4" t="s">
        <v>344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7.25" x14ac:dyDescent="0.3">
      <c r="A225" s="22" t="s">
        <v>105</v>
      </c>
      <c r="B225" s="3" t="s">
        <v>23</v>
      </c>
      <c r="C225" s="4" t="s">
        <v>344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7.25" x14ac:dyDescent="0.3">
      <c r="A226" s="3" t="s">
        <v>105</v>
      </c>
      <c r="B226" s="3" t="s">
        <v>23</v>
      </c>
      <c r="C226" s="4" t="s">
        <v>342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7.25" x14ac:dyDescent="0.3">
      <c r="A227" s="3" t="s">
        <v>105</v>
      </c>
      <c r="B227" s="3" t="s">
        <v>27</v>
      </c>
      <c r="C227" s="4" t="s">
        <v>344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7.25" x14ac:dyDescent="0.3">
      <c r="A228" s="3" t="s">
        <v>77</v>
      </c>
      <c r="B228" s="3" t="s">
        <v>21</v>
      </c>
      <c r="C228" s="4" t="s">
        <v>340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7.25" x14ac:dyDescent="0.3">
      <c r="A229" s="3" t="s">
        <v>104</v>
      </c>
      <c r="B229" s="3" t="s">
        <v>75</v>
      </c>
      <c r="C229" s="4" t="s">
        <v>337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7.25" x14ac:dyDescent="0.3">
      <c r="A230" s="3" t="s">
        <v>105</v>
      </c>
      <c r="B230" s="3" t="s">
        <v>75</v>
      </c>
      <c r="C230" s="4" t="s">
        <v>338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7.25" x14ac:dyDescent="0.3">
      <c r="A231" s="3" t="s">
        <v>105</v>
      </c>
      <c r="B231" s="3" t="s">
        <v>69</v>
      </c>
      <c r="C231" s="4" t="s">
        <v>344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7.25" x14ac:dyDescent="0.3">
      <c r="A232" s="3" t="s">
        <v>105</v>
      </c>
      <c r="B232" s="8" t="s">
        <v>66</v>
      </c>
      <c r="C232" s="4" t="s">
        <v>337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7.25" x14ac:dyDescent="0.3">
      <c r="A233" s="22" t="s">
        <v>106</v>
      </c>
      <c r="B233" s="3" t="s">
        <v>31</v>
      </c>
      <c r="C233" s="4" t="s">
        <v>342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7.25" x14ac:dyDescent="0.3">
      <c r="A234" s="22" t="s">
        <v>107</v>
      </c>
      <c r="B234" s="3" t="s">
        <v>48</v>
      </c>
      <c r="C234" s="4" t="s">
        <v>344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7.25" x14ac:dyDescent="0.3">
      <c r="A235" s="22" t="s">
        <v>107</v>
      </c>
      <c r="B235" s="3" t="s">
        <v>48</v>
      </c>
      <c r="C235" s="4" t="s">
        <v>337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7.25" x14ac:dyDescent="0.3">
      <c r="A236" s="22" t="s">
        <v>107</v>
      </c>
      <c r="B236" s="3" t="s">
        <v>21</v>
      </c>
      <c r="C236" s="4" t="s">
        <v>339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7.25" x14ac:dyDescent="0.3">
      <c r="A237" s="22" t="s">
        <v>107</v>
      </c>
      <c r="B237" s="3" t="s">
        <v>66</v>
      </c>
      <c r="C237" s="4" t="s">
        <v>338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7.25" x14ac:dyDescent="0.3">
      <c r="A238" s="3" t="s">
        <v>107</v>
      </c>
      <c r="B238" s="3" t="s">
        <v>25</v>
      </c>
      <c r="C238" s="4" t="s">
        <v>337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7.25" x14ac:dyDescent="0.3">
      <c r="A239" s="22" t="s">
        <v>107</v>
      </c>
      <c r="B239" s="3" t="s">
        <v>43</v>
      </c>
      <c r="C239" s="4" t="s">
        <v>344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7.25" x14ac:dyDescent="0.3">
      <c r="A240" s="22" t="s">
        <v>107</v>
      </c>
      <c r="B240" s="3" t="s">
        <v>23</v>
      </c>
      <c r="C240" s="4" t="s">
        <v>344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7.25" x14ac:dyDescent="0.3">
      <c r="A241" s="22" t="s">
        <v>107</v>
      </c>
      <c r="B241" s="3" t="s">
        <v>16</v>
      </c>
      <c r="C241" s="4" t="s">
        <v>344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7.25" x14ac:dyDescent="0.3">
      <c r="A242" s="22" t="s">
        <v>107</v>
      </c>
      <c r="B242" s="3" t="s">
        <v>16</v>
      </c>
      <c r="C242" s="4" t="s">
        <v>343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7.25" x14ac:dyDescent="0.3">
      <c r="A243" s="3" t="s">
        <v>107</v>
      </c>
      <c r="B243" s="3" t="s">
        <v>43</v>
      </c>
      <c r="C243" s="4" t="s">
        <v>341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7.25" x14ac:dyDescent="0.3">
      <c r="A244" s="22" t="s">
        <v>111</v>
      </c>
      <c r="B244" s="3" t="s">
        <v>21</v>
      </c>
      <c r="C244" s="4" t="s">
        <v>344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7.25" x14ac:dyDescent="0.3">
      <c r="A245" s="22" t="s">
        <v>111</v>
      </c>
      <c r="B245" s="3" t="s">
        <v>24</v>
      </c>
      <c r="C245" s="4" t="s">
        <v>344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7.25" x14ac:dyDescent="0.3">
      <c r="A246" s="22" t="s">
        <v>112</v>
      </c>
      <c r="B246" s="3" t="s">
        <v>11</v>
      </c>
      <c r="C246" s="4" t="s">
        <v>337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7.25" x14ac:dyDescent="0.3">
      <c r="A247" s="3" t="s">
        <v>112</v>
      </c>
      <c r="B247" s="3" t="s">
        <v>14</v>
      </c>
      <c r="C247" s="4" t="s">
        <v>344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7.25" x14ac:dyDescent="0.3">
      <c r="A248" s="22" t="s">
        <v>112</v>
      </c>
      <c r="B248" s="3" t="s">
        <v>14</v>
      </c>
      <c r="C248" s="4" t="s">
        <v>343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7.25" x14ac:dyDescent="0.3">
      <c r="A249" s="22" t="s">
        <v>112</v>
      </c>
      <c r="B249" s="3" t="s">
        <v>8</v>
      </c>
      <c r="C249" s="4" t="s">
        <v>342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7.25" x14ac:dyDescent="0.3">
      <c r="A250" s="22" t="s">
        <v>112</v>
      </c>
      <c r="B250" s="3" t="s">
        <v>33</v>
      </c>
      <c r="C250" s="4" t="s">
        <v>337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7.25" x14ac:dyDescent="0.3">
      <c r="A251" s="22" t="s">
        <v>112</v>
      </c>
      <c r="B251" s="3" t="s">
        <v>33</v>
      </c>
      <c r="C251" s="4" t="s">
        <v>344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7.25" x14ac:dyDescent="0.3">
      <c r="A252" s="3" t="s">
        <v>112</v>
      </c>
      <c r="B252" s="3" t="s">
        <v>114</v>
      </c>
      <c r="C252" s="4" t="s">
        <v>344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7.25" x14ac:dyDescent="0.3">
      <c r="A253" s="3" t="s">
        <v>112</v>
      </c>
      <c r="B253" s="3" t="s">
        <v>114</v>
      </c>
      <c r="C253" s="4" t="s">
        <v>344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7.25" x14ac:dyDescent="0.3">
      <c r="A254" s="3" t="s">
        <v>112</v>
      </c>
      <c r="B254" s="3" t="s">
        <v>63</v>
      </c>
      <c r="C254" s="4" t="s">
        <v>342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7.25" x14ac:dyDescent="0.3">
      <c r="A255" s="3" t="s">
        <v>112</v>
      </c>
      <c r="B255" s="3" t="s">
        <v>69</v>
      </c>
      <c r="C255" s="4" t="s">
        <v>344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7.25" x14ac:dyDescent="0.3">
      <c r="A256" s="22" t="s">
        <v>115</v>
      </c>
      <c r="B256" s="3" t="s">
        <v>60</v>
      </c>
      <c r="C256" s="4" t="s">
        <v>337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7.25" x14ac:dyDescent="0.3">
      <c r="A257" s="22" t="s">
        <v>115</v>
      </c>
      <c r="B257" s="3" t="s">
        <v>60</v>
      </c>
      <c r="C257" s="4" t="s">
        <v>342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7.25" x14ac:dyDescent="0.3">
      <c r="A258" s="22" t="s">
        <v>115</v>
      </c>
      <c r="B258" s="3" t="s">
        <v>60</v>
      </c>
      <c r="C258" s="4" t="s">
        <v>337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7.25" x14ac:dyDescent="0.3">
      <c r="A259" s="22" t="s">
        <v>115</v>
      </c>
      <c r="B259" s="3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7.25" x14ac:dyDescent="0.3">
      <c r="A260" s="22" t="s">
        <v>115</v>
      </c>
      <c r="B260" s="3" t="s">
        <v>21</v>
      </c>
      <c r="C260" s="4" t="s">
        <v>337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7.25" x14ac:dyDescent="0.3">
      <c r="A261" s="22" t="s">
        <v>115</v>
      </c>
      <c r="B261" s="3" t="s">
        <v>24</v>
      </c>
      <c r="C261" s="4" t="s">
        <v>344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7.25" x14ac:dyDescent="0.3">
      <c r="A262" s="22" t="s">
        <v>115</v>
      </c>
      <c r="B262" s="3" t="s">
        <v>30</v>
      </c>
      <c r="C262" s="4" t="s">
        <v>339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7.25" x14ac:dyDescent="0.3">
      <c r="A263" s="22" t="s">
        <v>115</v>
      </c>
      <c r="B263" s="3" t="s">
        <v>30</v>
      </c>
      <c r="C263" s="4" t="s">
        <v>339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7.25" x14ac:dyDescent="0.3">
      <c r="A264" s="22" t="s">
        <v>115</v>
      </c>
      <c r="B264" s="3" t="s">
        <v>99</v>
      </c>
      <c r="C264" s="4" t="s">
        <v>342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7.25" x14ac:dyDescent="0.3">
      <c r="A265" s="3" t="s">
        <v>115</v>
      </c>
      <c r="B265" s="3" t="s">
        <v>33</v>
      </c>
      <c r="C265" s="4" t="s">
        <v>340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7.25" x14ac:dyDescent="0.3">
      <c r="A266" s="22" t="s">
        <v>118</v>
      </c>
      <c r="B266" s="3" t="s">
        <v>27</v>
      </c>
      <c r="C266" s="4" t="s">
        <v>338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7.25" x14ac:dyDescent="0.3">
      <c r="A267" s="22" t="s">
        <v>119</v>
      </c>
      <c r="B267" s="3" t="s">
        <v>11</v>
      </c>
      <c r="C267" s="4" t="s">
        <v>344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7.25" x14ac:dyDescent="0.3">
      <c r="A268" s="22" t="s">
        <v>119</v>
      </c>
      <c r="B268" s="3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7.25" x14ac:dyDescent="0.3">
      <c r="A269" s="22" t="s">
        <v>119</v>
      </c>
      <c r="B269" s="3" t="s">
        <v>48</v>
      </c>
      <c r="C269" s="4" t="s">
        <v>344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7.25" x14ac:dyDescent="0.3">
      <c r="A270" s="22" t="s">
        <v>119</v>
      </c>
      <c r="B270" s="3" t="s">
        <v>19</v>
      </c>
      <c r="C270" s="4" t="s">
        <v>344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7.25" x14ac:dyDescent="0.3">
      <c r="A271" s="22" t="s">
        <v>119</v>
      </c>
      <c r="B271" s="3" t="s">
        <v>51</v>
      </c>
      <c r="C271" s="4" t="s">
        <v>343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7.25" x14ac:dyDescent="0.3">
      <c r="A272" s="22" t="s">
        <v>119</v>
      </c>
      <c r="B272" s="3" t="s">
        <v>14</v>
      </c>
      <c r="C272" s="4" t="s">
        <v>344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7.25" x14ac:dyDescent="0.3">
      <c r="A273" s="22" t="s">
        <v>119</v>
      </c>
      <c r="B273" s="3" t="s">
        <v>25</v>
      </c>
      <c r="C273" s="4" t="s">
        <v>344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7.25" x14ac:dyDescent="0.3">
      <c r="A274" s="22" t="s">
        <v>119</v>
      </c>
      <c r="B274" s="3" t="s">
        <v>43</v>
      </c>
      <c r="C274" s="4" t="s">
        <v>344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7.25" x14ac:dyDescent="0.3">
      <c r="A275" s="3" t="s">
        <v>119</v>
      </c>
      <c r="B275" s="3" t="s">
        <v>43</v>
      </c>
      <c r="C275" s="4" t="s">
        <v>341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7.25" x14ac:dyDescent="0.3">
      <c r="A276" s="22" t="s">
        <v>119</v>
      </c>
      <c r="B276" s="3" t="s">
        <v>29</v>
      </c>
      <c r="C276" s="4" t="s">
        <v>338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7.25" x14ac:dyDescent="0.3">
      <c r="A277" s="22" t="s">
        <v>119</v>
      </c>
      <c r="B277" s="3" t="s">
        <v>31</v>
      </c>
      <c r="C277" s="4" t="s">
        <v>339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7.25" x14ac:dyDescent="0.3">
      <c r="A278" s="22" t="s">
        <v>119</v>
      </c>
      <c r="B278" s="3" t="s">
        <v>31</v>
      </c>
      <c r="C278" s="4" t="s">
        <v>339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7.25" x14ac:dyDescent="0.3">
      <c r="A279" s="22" t="s">
        <v>119</v>
      </c>
      <c r="B279" s="3" t="s">
        <v>33</v>
      </c>
      <c r="C279" s="4" t="s">
        <v>344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7.25" x14ac:dyDescent="0.3">
      <c r="A280" s="22" t="s">
        <v>119</v>
      </c>
      <c r="B280" s="3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7.25" x14ac:dyDescent="0.3">
      <c r="A281" s="22" t="s">
        <v>119</v>
      </c>
      <c r="B281" s="3" t="s">
        <v>16</v>
      </c>
      <c r="C281" s="4" t="s">
        <v>344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7.25" x14ac:dyDescent="0.3">
      <c r="A282" s="3" t="s">
        <v>119</v>
      </c>
      <c r="B282" s="3" t="s">
        <v>33</v>
      </c>
      <c r="C282" s="4" t="s">
        <v>337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7.25" x14ac:dyDescent="0.3">
      <c r="A283" s="3" t="s">
        <v>119</v>
      </c>
      <c r="B283" s="3" t="s">
        <v>63</v>
      </c>
      <c r="C283" s="4" t="s">
        <v>344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7.25" x14ac:dyDescent="0.3">
      <c r="A284" s="22" t="s">
        <v>121</v>
      </c>
      <c r="B284" s="3" t="s">
        <v>48</v>
      </c>
      <c r="C284" s="4" t="s">
        <v>344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7.25" x14ac:dyDescent="0.3">
      <c r="A285" s="22" t="s">
        <v>121</v>
      </c>
      <c r="B285" s="3" t="s">
        <v>14</v>
      </c>
      <c r="C285" s="4" t="s">
        <v>337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7.25" x14ac:dyDescent="0.3">
      <c r="A286" s="3" t="s">
        <v>121</v>
      </c>
      <c r="B286" s="3" t="s">
        <v>14</v>
      </c>
      <c r="C286" s="4" t="s">
        <v>344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7.25" x14ac:dyDescent="0.3">
      <c r="A287" s="22" t="s">
        <v>121</v>
      </c>
      <c r="B287" s="3" t="s">
        <v>33</v>
      </c>
      <c r="C287" s="4" t="s">
        <v>337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7.25" x14ac:dyDescent="0.3">
      <c r="A288" s="22" t="s">
        <v>121</v>
      </c>
      <c r="B288" s="3" t="s">
        <v>33</v>
      </c>
      <c r="C288" s="4" t="s">
        <v>344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7.25" x14ac:dyDescent="0.3">
      <c r="A289" s="22" t="s">
        <v>121</v>
      </c>
      <c r="B289" s="3" t="s">
        <v>33</v>
      </c>
      <c r="C289" s="4" t="s">
        <v>342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7.25" x14ac:dyDescent="0.3">
      <c r="A290" s="3" t="s">
        <v>121</v>
      </c>
      <c r="B290" s="3" t="s">
        <v>43</v>
      </c>
      <c r="C290" s="4" t="s">
        <v>341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7.25" x14ac:dyDescent="0.3">
      <c r="A291" s="3" t="s">
        <v>121</v>
      </c>
      <c r="B291" s="3" t="s">
        <v>21</v>
      </c>
      <c r="C291" s="4" t="s">
        <v>339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7.25" x14ac:dyDescent="0.3">
      <c r="A292" s="22" t="s">
        <v>123</v>
      </c>
      <c r="B292" s="3" t="s">
        <v>24</v>
      </c>
      <c r="C292" s="4" t="s">
        <v>342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7.25" x14ac:dyDescent="0.3">
      <c r="A293" s="22" t="s">
        <v>123</v>
      </c>
      <c r="B293" s="3" t="s">
        <v>31</v>
      </c>
      <c r="C293" s="4" t="s">
        <v>343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7.25" x14ac:dyDescent="0.3">
      <c r="A294" s="22" t="s">
        <v>124</v>
      </c>
      <c r="B294" s="3" t="s">
        <v>21</v>
      </c>
      <c r="C294" s="4" t="s">
        <v>344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7.25" x14ac:dyDescent="0.3">
      <c r="A295" s="22" t="s">
        <v>124</v>
      </c>
      <c r="B295" s="3" t="s">
        <v>21</v>
      </c>
      <c r="C295" s="4" t="s">
        <v>344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7.25" x14ac:dyDescent="0.3">
      <c r="A296" s="22" t="s">
        <v>124</v>
      </c>
      <c r="B296" s="3" t="s">
        <v>25</v>
      </c>
      <c r="C296" s="4" t="s">
        <v>344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7.25" x14ac:dyDescent="0.3">
      <c r="A297" s="3" t="s">
        <v>124</v>
      </c>
      <c r="B297" s="3" t="s">
        <v>25</v>
      </c>
      <c r="C297" s="4" t="s">
        <v>344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7.25" x14ac:dyDescent="0.3">
      <c r="A298" s="3" t="s">
        <v>124</v>
      </c>
      <c r="B298" s="3" t="s">
        <v>43</v>
      </c>
      <c r="C298" s="4" t="s">
        <v>344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7.25" x14ac:dyDescent="0.3">
      <c r="A299" s="22" t="s">
        <v>124</v>
      </c>
      <c r="B299" s="3" t="s">
        <v>8</v>
      </c>
      <c r="C299" s="4" t="s">
        <v>342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7.25" x14ac:dyDescent="0.3">
      <c r="A300" s="22" t="s">
        <v>124</v>
      </c>
      <c r="B300" s="3" t="s">
        <v>33</v>
      </c>
      <c r="C300" s="4" t="s">
        <v>339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7.25" x14ac:dyDescent="0.3">
      <c r="A301" s="22" t="s">
        <v>126</v>
      </c>
      <c r="B301" s="3" t="s">
        <v>60</v>
      </c>
      <c r="C301" s="4" t="s">
        <v>337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7.25" x14ac:dyDescent="0.3">
      <c r="A302" s="22" t="s">
        <v>126</v>
      </c>
      <c r="B302" s="3" t="s">
        <v>60</v>
      </c>
      <c r="C302" s="4" t="s">
        <v>337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7.25" x14ac:dyDescent="0.3">
      <c r="A303" s="22" t="s">
        <v>126</v>
      </c>
      <c r="B303" s="3" t="s">
        <v>60</v>
      </c>
      <c r="C303" s="4" t="s">
        <v>337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7.25" x14ac:dyDescent="0.3">
      <c r="A304" s="22" t="s">
        <v>126</v>
      </c>
      <c r="B304" s="3" t="s">
        <v>24</v>
      </c>
      <c r="C304" s="4" t="s">
        <v>342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7.25" x14ac:dyDescent="0.3">
      <c r="A305" s="22" t="s">
        <v>126</v>
      </c>
      <c r="B305" s="3" t="s">
        <v>23</v>
      </c>
      <c r="C305" s="4" t="s">
        <v>342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7.25" x14ac:dyDescent="0.3">
      <c r="A306" s="22" t="s">
        <v>126</v>
      </c>
      <c r="B306" s="3" t="s">
        <v>23</v>
      </c>
      <c r="C306" s="4" t="s">
        <v>342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7.25" x14ac:dyDescent="0.3">
      <c r="A307" s="3" t="s">
        <v>126</v>
      </c>
      <c r="B307" s="3" t="s">
        <v>5</v>
      </c>
      <c r="C307" s="4" t="s">
        <v>337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7.25" x14ac:dyDescent="0.3">
      <c r="A308" s="22" t="s">
        <v>126</v>
      </c>
      <c r="B308" s="3" t="s">
        <v>27</v>
      </c>
      <c r="C308" s="4" t="s">
        <v>344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7.25" x14ac:dyDescent="0.3">
      <c r="A309" s="22" t="s">
        <v>126</v>
      </c>
      <c r="B309" s="3" t="s">
        <v>31</v>
      </c>
      <c r="C309" s="4" t="s">
        <v>337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7.25" x14ac:dyDescent="0.3">
      <c r="A310" s="22" t="s">
        <v>126</v>
      </c>
      <c r="B310" s="3" t="s">
        <v>31</v>
      </c>
      <c r="C310" s="4" t="s">
        <v>344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7.25" x14ac:dyDescent="0.3">
      <c r="A311" s="22" t="s">
        <v>126</v>
      </c>
      <c r="B311" s="3" t="s">
        <v>29</v>
      </c>
      <c r="C311" s="4" t="s">
        <v>344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7.25" x14ac:dyDescent="0.3">
      <c r="A312" s="22" t="s">
        <v>130</v>
      </c>
      <c r="B312" s="3" t="s">
        <v>11</v>
      </c>
      <c r="C312" s="4" t="s">
        <v>344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7.25" x14ac:dyDescent="0.3">
      <c r="A313" s="3" t="s">
        <v>130</v>
      </c>
      <c r="B313" s="3" t="s">
        <v>19</v>
      </c>
      <c r="C313" s="4" t="s">
        <v>344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7.25" x14ac:dyDescent="0.3">
      <c r="A314" s="22" t="s">
        <v>130</v>
      </c>
      <c r="B314" s="3" t="s">
        <v>24</v>
      </c>
      <c r="C314" s="4" t="s">
        <v>344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7.25" x14ac:dyDescent="0.3">
      <c r="A315" s="22" t="s">
        <v>130</v>
      </c>
      <c r="B315" s="3" t="s">
        <v>24</v>
      </c>
      <c r="C315" s="4" t="s">
        <v>342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7.25" x14ac:dyDescent="0.3">
      <c r="A316" s="3" t="s">
        <v>130</v>
      </c>
      <c r="B316" s="3" t="s">
        <v>43</v>
      </c>
      <c r="C316" s="4" t="s">
        <v>338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7.25" x14ac:dyDescent="0.3">
      <c r="A317" s="22" t="s">
        <v>130</v>
      </c>
      <c r="B317" s="3" t="s">
        <v>43</v>
      </c>
      <c r="C317" s="4" t="s">
        <v>344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7.25" x14ac:dyDescent="0.3">
      <c r="A318" s="22" t="s">
        <v>130</v>
      </c>
      <c r="B318" s="3" t="s">
        <v>29</v>
      </c>
      <c r="C318" s="4" t="s">
        <v>339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7.25" x14ac:dyDescent="0.3">
      <c r="A319" s="22" t="s">
        <v>130</v>
      </c>
      <c r="B319" s="3" t="s">
        <v>23</v>
      </c>
      <c r="C319" s="4" t="s">
        <v>344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7.25" x14ac:dyDescent="0.3">
      <c r="A320" s="22" t="s">
        <v>130</v>
      </c>
      <c r="B320" s="3" t="s">
        <v>23</v>
      </c>
      <c r="C320" s="4" t="s">
        <v>344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7.25" x14ac:dyDescent="0.3">
      <c r="A321" s="22" t="s">
        <v>130</v>
      </c>
      <c r="B321" s="3" t="s">
        <v>23</v>
      </c>
      <c r="C321" s="4" t="s">
        <v>342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7.25" x14ac:dyDescent="0.3">
      <c r="A322" s="22" t="s">
        <v>130</v>
      </c>
      <c r="B322" s="3" t="s">
        <v>23</v>
      </c>
      <c r="C322" s="4" t="s">
        <v>342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7.25" x14ac:dyDescent="0.3">
      <c r="A323" s="22" t="s">
        <v>130</v>
      </c>
      <c r="B323" s="3" t="s">
        <v>23</v>
      </c>
      <c r="C323" s="4" t="s">
        <v>342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7.25" x14ac:dyDescent="0.3">
      <c r="A324" s="22" t="s">
        <v>130</v>
      </c>
      <c r="B324" s="3" t="s">
        <v>46</v>
      </c>
      <c r="C324" s="4" t="s">
        <v>342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7.25" x14ac:dyDescent="0.3">
      <c r="A325" s="22" t="s">
        <v>130</v>
      </c>
      <c r="B325" s="3" t="s">
        <v>46</v>
      </c>
      <c r="C325" s="4" t="s">
        <v>344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7.25" x14ac:dyDescent="0.3">
      <c r="A326" s="22" t="s">
        <v>130</v>
      </c>
      <c r="B326" s="3" t="s">
        <v>33</v>
      </c>
      <c r="C326" s="4" t="s">
        <v>337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7.25" x14ac:dyDescent="0.3">
      <c r="A327" s="22" t="s">
        <v>130</v>
      </c>
      <c r="B327" s="3" t="s">
        <v>33</v>
      </c>
      <c r="C327" s="4" t="s">
        <v>344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7.25" x14ac:dyDescent="0.3">
      <c r="A328" s="22" t="s">
        <v>130</v>
      </c>
      <c r="B328" s="3" t="s">
        <v>41</v>
      </c>
      <c r="C328" s="4" t="s">
        <v>344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7.25" x14ac:dyDescent="0.3">
      <c r="A329" s="22" t="s">
        <v>130</v>
      </c>
      <c r="B329" s="3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7.25" x14ac:dyDescent="0.3">
      <c r="A330" s="3" t="s">
        <v>130</v>
      </c>
      <c r="B330" s="3" t="s">
        <v>18</v>
      </c>
      <c r="C330" s="4" t="s">
        <v>337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7.25" x14ac:dyDescent="0.3">
      <c r="A331" s="22" t="s">
        <v>131</v>
      </c>
      <c r="B331" s="3" t="s">
        <v>48</v>
      </c>
      <c r="C331" s="4" t="s">
        <v>337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7.25" x14ac:dyDescent="0.3">
      <c r="A332" s="3" t="s">
        <v>131</v>
      </c>
      <c r="B332" s="3" t="s">
        <v>19</v>
      </c>
      <c r="C332" s="4" t="s">
        <v>338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7.25" x14ac:dyDescent="0.3">
      <c r="A333" s="22" t="s">
        <v>131</v>
      </c>
      <c r="B333" s="3" t="s">
        <v>51</v>
      </c>
      <c r="C333" s="4" t="s">
        <v>337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7.25" x14ac:dyDescent="0.3">
      <c r="A334" s="22" t="s">
        <v>131</v>
      </c>
      <c r="B334" s="3" t="s">
        <v>21</v>
      </c>
      <c r="C334" s="4" t="s">
        <v>344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7.25" x14ac:dyDescent="0.3">
      <c r="A335" s="22" t="s">
        <v>131</v>
      </c>
      <c r="B335" s="3" t="s">
        <v>93</v>
      </c>
      <c r="C335" s="4" t="s">
        <v>337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7.25" x14ac:dyDescent="0.3">
      <c r="A336" s="22" t="s">
        <v>131</v>
      </c>
      <c r="B336" s="3" t="s">
        <v>25</v>
      </c>
      <c r="C336" s="4" t="s">
        <v>337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7.25" x14ac:dyDescent="0.3">
      <c r="A337" s="22" t="s">
        <v>131</v>
      </c>
      <c r="B337" s="3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7.25" x14ac:dyDescent="0.3">
      <c r="A338" s="22" t="s">
        <v>131</v>
      </c>
      <c r="B338" s="3" t="s">
        <v>43</v>
      </c>
      <c r="C338" s="4" t="s">
        <v>344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7.25" x14ac:dyDescent="0.3">
      <c r="A339" s="22" t="s">
        <v>131</v>
      </c>
      <c r="B339" s="3" t="s">
        <v>95</v>
      </c>
      <c r="C339" s="4" t="s">
        <v>337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7.25" x14ac:dyDescent="0.3">
      <c r="A340" s="22" t="s">
        <v>131</v>
      </c>
      <c r="B340" s="3" t="s">
        <v>23</v>
      </c>
      <c r="C340" s="4" t="s">
        <v>344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7.25" x14ac:dyDescent="0.3">
      <c r="A341" s="3" t="s">
        <v>131</v>
      </c>
      <c r="B341" s="3" t="s">
        <v>23</v>
      </c>
      <c r="C341" s="4" t="s">
        <v>342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7.25" x14ac:dyDescent="0.3">
      <c r="A342" s="3" t="s">
        <v>131</v>
      </c>
      <c r="B342" s="3" t="s">
        <v>43</v>
      </c>
      <c r="C342" s="4" t="s">
        <v>341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7.25" x14ac:dyDescent="0.3">
      <c r="A343" s="22" t="s">
        <v>132</v>
      </c>
      <c r="B343" s="3" t="s">
        <v>51</v>
      </c>
      <c r="C343" s="4" t="s">
        <v>344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7.25" x14ac:dyDescent="0.3">
      <c r="A344" s="22" t="s">
        <v>133</v>
      </c>
      <c r="B344" s="3" t="s">
        <v>48</v>
      </c>
      <c r="C344" s="4" t="s">
        <v>337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7.25" x14ac:dyDescent="0.3">
      <c r="A345" s="22" t="s">
        <v>133</v>
      </c>
      <c r="B345" s="3" t="s">
        <v>46</v>
      </c>
      <c r="C345" s="4" t="s">
        <v>342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7.25" x14ac:dyDescent="0.3">
      <c r="A346" s="22" t="s">
        <v>131</v>
      </c>
      <c r="B346" s="3" t="s">
        <v>16</v>
      </c>
      <c r="C346" s="4" t="s">
        <v>344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7.25" x14ac:dyDescent="0.3">
      <c r="A347" s="22" t="s">
        <v>134</v>
      </c>
      <c r="B347" s="3" t="s">
        <v>60</v>
      </c>
      <c r="C347" s="4" t="s">
        <v>342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7.25" x14ac:dyDescent="0.3">
      <c r="A348" s="22" t="s">
        <v>134</v>
      </c>
      <c r="B348" s="3" t="s">
        <v>21</v>
      </c>
      <c r="C348" s="4" t="s">
        <v>344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7.25" x14ac:dyDescent="0.3">
      <c r="A349" s="22" t="s">
        <v>134</v>
      </c>
      <c r="B349" s="3" t="s">
        <v>93</v>
      </c>
      <c r="C349" s="4" t="s">
        <v>343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7.25" x14ac:dyDescent="0.3">
      <c r="A350" s="22" t="s">
        <v>134</v>
      </c>
      <c r="B350" s="3" t="s">
        <v>24</v>
      </c>
      <c r="C350" s="4" t="s">
        <v>344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7.25" x14ac:dyDescent="0.3">
      <c r="A351" s="22" t="s">
        <v>134</v>
      </c>
      <c r="B351" s="3" t="s">
        <v>25</v>
      </c>
      <c r="C351" s="4" t="s">
        <v>337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7.25" x14ac:dyDescent="0.3">
      <c r="A352" s="22" t="s">
        <v>134</v>
      </c>
      <c r="B352" s="3" t="s">
        <v>95</v>
      </c>
      <c r="C352" s="4" t="s">
        <v>343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7.25" x14ac:dyDescent="0.3">
      <c r="A353" s="22" t="s">
        <v>134</v>
      </c>
      <c r="B353" s="3" t="s">
        <v>75</v>
      </c>
      <c r="C353" s="4" t="s">
        <v>342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7.25" x14ac:dyDescent="0.3">
      <c r="A354" s="3" t="s">
        <v>134</v>
      </c>
      <c r="B354" s="3" t="s">
        <v>66</v>
      </c>
      <c r="C354" s="4" t="s">
        <v>339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7.25" x14ac:dyDescent="0.3">
      <c r="A355" s="22" t="s">
        <v>136</v>
      </c>
      <c r="B355" s="3" t="s">
        <v>48</v>
      </c>
      <c r="C355" s="4" t="s">
        <v>344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7.25" x14ac:dyDescent="0.3">
      <c r="A356" s="22" t="s">
        <v>136</v>
      </c>
      <c r="B356" s="3" t="s">
        <v>14</v>
      </c>
      <c r="C356" s="4" t="s">
        <v>344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7.25" x14ac:dyDescent="0.3">
      <c r="A357" s="22" t="s">
        <v>136</v>
      </c>
      <c r="B357" s="3" t="s">
        <v>8</v>
      </c>
      <c r="C357" s="4" t="s">
        <v>338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7.25" x14ac:dyDescent="0.3">
      <c r="A358" s="22" t="s">
        <v>136</v>
      </c>
      <c r="B358" s="3" t="s">
        <v>8</v>
      </c>
      <c r="C358" s="4" t="s">
        <v>339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7.25" x14ac:dyDescent="0.3">
      <c r="A359" s="22" t="s">
        <v>136</v>
      </c>
      <c r="B359" s="3" t="s">
        <v>31</v>
      </c>
      <c r="C359" s="4" t="s">
        <v>337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7.25" x14ac:dyDescent="0.3">
      <c r="A360" s="22" t="s">
        <v>136</v>
      </c>
      <c r="B360" s="3" t="s">
        <v>31</v>
      </c>
      <c r="C360" s="4" t="s">
        <v>344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7.25" x14ac:dyDescent="0.3">
      <c r="A361" s="22" t="s">
        <v>136</v>
      </c>
      <c r="B361" s="3" t="s">
        <v>46</v>
      </c>
      <c r="C361" s="4" t="s">
        <v>342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7.25" x14ac:dyDescent="0.3">
      <c r="A362" s="22" t="s">
        <v>136</v>
      </c>
      <c r="B362" s="3" t="s">
        <v>46</v>
      </c>
      <c r="C362" s="4" t="s">
        <v>344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7.25" x14ac:dyDescent="0.3">
      <c r="A363" s="22" t="s">
        <v>136</v>
      </c>
      <c r="B363" s="3" t="s">
        <v>33</v>
      </c>
      <c r="C363" s="4" t="s">
        <v>344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7.25" x14ac:dyDescent="0.3">
      <c r="A364" s="22" t="s">
        <v>136</v>
      </c>
      <c r="B364" s="3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7.25" x14ac:dyDescent="0.3">
      <c r="A365" s="3" t="s">
        <v>136</v>
      </c>
      <c r="B365" s="3" t="s">
        <v>69</v>
      </c>
      <c r="C365" s="4" t="s">
        <v>342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7.25" x14ac:dyDescent="0.3">
      <c r="A366" s="3" t="s">
        <v>136</v>
      </c>
      <c r="B366" s="3" t="s">
        <v>43</v>
      </c>
      <c r="C366" s="4" t="s">
        <v>341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7.25" x14ac:dyDescent="0.3">
      <c r="A367" s="3" t="s">
        <v>136</v>
      </c>
      <c r="B367" s="3" t="s">
        <v>43</v>
      </c>
      <c r="C367" s="4" t="s">
        <v>341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7.25" x14ac:dyDescent="0.3">
      <c r="A368" s="3" t="s">
        <v>136</v>
      </c>
      <c r="B368" s="3" t="s">
        <v>63</v>
      </c>
      <c r="C368" s="4" t="s">
        <v>342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7.25" x14ac:dyDescent="0.3">
      <c r="A369" s="22" t="s">
        <v>136</v>
      </c>
      <c r="B369" s="3" t="s">
        <v>18</v>
      </c>
      <c r="C369" s="4" t="s">
        <v>339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7.25" x14ac:dyDescent="0.3">
      <c r="A370" s="22" t="s">
        <v>137</v>
      </c>
      <c r="B370" s="3" t="s">
        <v>11</v>
      </c>
      <c r="C370" s="4" t="s">
        <v>343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7.25" x14ac:dyDescent="0.3">
      <c r="A371" s="22" t="s">
        <v>137</v>
      </c>
      <c r="B371" s="3" t="s">
        <v>48</v>
      </c>
      <c r="C371" s="4" t="s">
        <v>344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7.25" x14ac:dyDescent="0.3">
      <c r="A372" s="22" t="s">
        <v>138</v>
      </c>
      <c r="B372" s="3" t="s">
        <v>11</v>
      </c>
      <c r="C372" s="4" t="s">
        <v>337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7.25" x14ac:dyDescent="0.3">
      <c r="A373" s="22" t="s">
        <v>137</v>
      </c>
      <c r="B373" s="3" t="s">
        <v>25</v>
      </c>
      <c r="C373" s="4" t="s">
        <v>337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7.25" x14ac:dyDescent="0.3">
      <c r="A374" s="22" t="s">
        <v>137</v>
      </c>
      <c r="B374" s="3" t="s">
        <v>46</v>
      </c>
      <c r="C374" s="4" t="s">
        <v>342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7.25" x14ac:dyDescent="0.3">
      <c r="A375" s="3" t="s">
        <v>137</v>
      </c>
      <c r="B375" s="3" t="s">
        <v>43</v>
      </c>
      <c r="C375" s="4" t="s">
        <v>341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7.25" x14ac:dyDescent="0.3">
      <c r="A376" s="3" t="s">
        <v>137</v>
      </c>
      <c r="B376" s="3" t="s">
        <v>63</v>
      </c>
      <c r="C376" s="4" t="s">
        <v>338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7.25" x14ac:dyDescent="0.3">
      <c r="A377" s="3" t="s">
        <v>137</v>
      </c>
      <c r="B377" s="3" t="s">
        <v>11</v>
      </c>
      <c r="C377" s="4" t="s">
        <v>344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7.25" x14ac:dyDescent="0.3">
      <c r="A378" s="3" t="s">
        <v>137</v>
      </c>
      <c r="B378" s="3" t="s">
        <v>25</v>
      </c>
      <c r="C378" s="4" t="s">
        <v>337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7.25" x14ac:dyDescent="0.3">
      <c r="A379" s="22" t="s">
        <v>140</v>
      </c>
      <c r="B379" s="3" t="s">
        <v>48</v>
      </c>
      <c r="C379" s="4" t="s">
        <v>337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7.25" x14ac:dyDescent="0.3">
      <c r="A380" s="22" t="s">
        <v>140</v>
      </c>
      <c r="B380" s="3" t="s">
        <v>60</v>
      </c>
      <c r="C380" s="4" t="s">
        <v>337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7.25" x14ac:dyDescent="0.3">
      <c r="A381" s="22" t="s">
        <v>140</v>
      </c>
      <c r="B381" s="3" t="s">
        <v>21</v>
      </c>
      <c r="C381" s="4" t="s">
        <v>344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7.25" x14ac:dyDescent="0.3">
      <c r="A382" s="22" t="s">
        <v>140</v>
      </c>
      <c r="B382" s="3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7.25" x14ac:dyDescent="0.3">
      <c r="A383" s="3" t="s">
        <v>140</v>
      </c>
      <c r="B383" s="3" t="s">
        <v>21</v>
      </c>
      <c r="C383" s="4" t="s">
        <v>339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7.25" x14ac:dyDescent="0.3">
      <c r="A384" s="22" t="s">
        <v>138</v>
      </c>
      <c r="B384" s="3" t="s">
        <v>11</v>
      </c>
      <c r="C384" s="4" t="s">
        <v>344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7.25" x14ac:dyDescent="0.3">
      <c r="A385" s="22" t="s">
        <v>138</v>
      </c>
      <c r="B385" s="3" t="s">
        <v>48</v>
      </c>
      <c r="C385" s="4" t="s">
        <v>337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7.25" x14ac:dyDescent="0.3">
      <c r="A386" s="22" t="s">
        <v>138</v>
      </c>
      <c r="B386" s="3" t="s">
        <v>25</v>
      </c>
      <c r="C386" s="4" t="s">
        <v>344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7.25" x14ac:dyDescent="0.3">
      <c r="A387" s="22" t="s">
        <v>138</v>
      </c>
      <c r="B387" s="3" t="s">
        <v>29</v>
      </c>
      <c r="C387" s="4" t="s">
        <v>344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7.25" x14ac:dyDescent="0.3">
      <c r="A388" s="22" t="s">
        <v>138</v>
      </c>
      <c r="B388" s="3" t="s">
        <v>27</v>
      </c>
      <c r="C388" s="4" t="s">
        <v>344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7.25" x14ac:dyDescent="0.3">
      <c r="A389" s="22" t="s">
        <v>138</v>
      </c>
      <c r="B389" s="3" t="s">
        <v>46</v>
      </c>
      <c r="C389" s="4" t="s">
        <v>337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7.25" x14ac:dyDescent="0.3">
      <c r="A390" s="22" t="s">
        <v>138</v>
      </c>
      <c r="B390" s="3" t="s">
        <v>46</v>
      </c>
      <c r="C390" s="4" t="s">
        <v>342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7.25" x14ac:dyDescent="0.3">
      <c r="A391" s="22" t="s">
        <v>138</v>
      </c>
      <c r="B391" s="3" t="s">
        <v>33</v>
      </c>
      <c r="C391" s="4" t="s">
        <v>344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7.25" x14ac:dyDescent="0.3">
      <c r="A392" s="3" t="s">
        <v>137</v>
      </c>
      <c r="B392" s="3" t="s">
        <v>69</v>
      </c>
      <c r="C392" s="4" t="s">
        <v>343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7.25" x14ac:dyDescent="0.3">
      <c r="A393" s="3" t="s">
        <v>138</v>
      </c>
      <c r="B393" s="3" t="s">
        <v>43</v>
      </c>
      <c r="C393" s="4" t="s">
        <v>341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7.25" x14ac:dyDescent="0.3">
      <c r="A394" s="22" t="s">
        <v>141</v>
      </c>
      <c r="B394" s="3" t="s">
        <v>60</v>
      </c>
      <c r="C394" s="4" t="s">
        <v>344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7.25" x14ac:dyDescent="0.3">
      <c r="A395" s="22" t="s">
        <v>141</v>
      </c>
      <c r="B395" s="3" t="s">
        <v>75</v>
      </c>
      <c r="C395" s="4" t="s">
        <v>342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7.25" x14ac:dyDescent="0.3">
      <c r="A396" s="22" t="s">
        <v>141</v>
      </c>
      <c r="B396" s="3" t="s">
        <v>218</v>
      </c>
      <c r="C396" s="4" t="s">
        <v>339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7.25" x14ac:dyDescent="0.3">
      <c r="A397" s="3" t="s">
        <v>141</v>
      </c>
      <c r="B397" s="3" t="s">
        <v>24</v>
      </c>
      <c r="C397" s="4" t="s">
        <v>338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7.25" x14ac:dyDescent="0.3">
      <c r="A398" s="22" t="s">
        <v>142</v>
      </c>
      <c r="B398" s="3" t="s">
        <v>11</v>
      </c>
      <c r="C398" s="4" t="s">
        <v>344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7.25" x14ac:dyDescent="0.3">
      <c r="A399" s="22" t="s">
        <v>142</v>
      </c>
      <c r="B399" s="3" t="s">
        <v>8</v>
      </c>
      <c r="C399" s="4" t="s">
        <v>338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7.25" x14ac:dyDescent="0.3">
      <c r="A400" s="22" t="s">
        <v>142</v>
      </c>
      <c r="B400" s="3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7.25" x14ac:dyDescent="0.3">
      <c r="A401" s="22" t="s">
        <v>141</v>
      </c>
      <c r="B401" s="3" t="s">
        <v>60</v>
      </c>
      <c r="C401" s="4" t="s">
        <v>337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7.25" x14ac:dyDescent="0.3">
      <c r="A402" s="3" t="s">
        <v>142</v>
      </c>
      <c r="B402" s="3" t="s">
        <v>19</v>
      </c>
      <c r="C402" s="4" t="s">
        <v>344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7.25" x14ac:dyDescent="0.3">
      <c r="A403" s="3" t="s">
        <v>142</v>
      </c>
      <c r="B403" s="3" t="s">
        <v>14</v>
      </c>
      <c r="C403" s="4" t="s">
        <v>344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7.25" x14ac:dyDescent="0.3">
      <c r="A404" s="3" t="s">
        <v>142</v>
      </c>
      <c r="B404" s="3" t="s">
        <v>27</v>
      </c>
      <c r="C404" s="4" t="s">
        <v>344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7.25" x14ac:dyDescent="0.3">
      <c r="A405" s="3" t="s">
        <v>142</v>
      </c>
      <c r="B405" s="3" t="s">
        <v>46</v>
      </c>
      <c r="C405" s="4" t="s">
        <v>344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7.25" x14ac:dyDescent="0.3">
      <c r="A406" s="3" t="s">
        <v>142</v>
      </c>
      <c r="B406" s="3" t="s">
        <v>29</v>
      </c>
      <c r="C406" s="4" t="s">
        <v>344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7.25" x14ac:dyDescent="0.3">
      <c r="A407" s="3" t="s">
        <v>142</v>
      </c>
      <c r="B407" s="3" t="s">
        <v>51</v>
      </c>
      <c r="C407" s="4" t="s">
        <v>337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7.25" x14ac:dyDescent="0.3">
      <c r="A408" s="3" t="s">
        <v>142</v>
      </c>
      <c r="B408" s="3" t="s">
        <v>31</v>
      </c>
      <c r="C408" s="4" t="s">
        <v>339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7.25" x14ac:dyDescent="0.3">
      <c r="A409" s="3" t="s">
        <v>141</v>
      </c>
      <c r="B409" s="3" t="s">
        <v>69</v>
      </c>
      <c r="C409" s="4" t="s">
        <v>338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7.25" x14ac:dyDescent="0.3">
      <c r="A410" s="3" t="s">
        <v>141</v>
      </c>
      <c r="B410" s="3" t="s">
        <v>69</v>
      </c>
      <c r="C410" s="4" t="s">
        <v>343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7.25" x14ac:dyDescent="0.3">
      <c r="A411" s="3" t="s">
        <v>142</v>
      </c>
      <c r="B411" s="3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7.25" x14ac:dyDescent="0.3">
      <c r="A412" s="3" t="s">
        <v>146</v>
      </c>
      <c r="B412" s="3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7.25" x14ac:dyDescent="0.3">
      <c r="A413" s="3" t="s">
        <v>146</v>
      </c>
      <c r="B413" s="3" t="s">
        <v>27</v>
      </c>
      <c r="C413" s="4" t="s">
        <v>337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7.25" x14ac:dyDescent="0.3">
      <c r="A414" s="3" t="s">
        <v>146</v>
      </c>
      <c r="B414" s="3" t="s">
        <v>27</v>
      </c>
      <c r="C414" s="4" t="s">
        <v>341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7.25" x14ac:dyDescent="0.3">
      <c r="A415" s="3" t="s">
        <v>146</v>
      </c>
      <c r="B415" s="3" t="s">
        <v>102</v>
      </c>
      <c r="C415" s="4" t="s">
        <v>338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7.25" x14ac:dyDescent="0.3">
      <c r="A416" s="3" t="s">
        <v>146</v>
      </c>
      <c r="B416" s="3" t="s">
        <v>46</v>
      </c>
      <c r="C416" s="4" t="s">
        <v>338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7.25" x14ac:dyDescent="0.3">
      <c r="A417" s="3" t="s">
        <v>146</v>
      </c>
      <c r="B417" s="3" t="s">
        <v>29</v>
      </c>
      <c r="C417" s="4" t="s">
        <v>337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7.25" x14ac:dyDescent="0.3">
      <c r="A418" s="3" t="s">
        <v>146</v>
      </c>
      <c r="B418" s="3" t="s">
        <v>29</v>
      </c>
      <c r="C418" s="4" t="s">
        <v>341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7.25" x14ac:dyDescent="0.3">
      <c r="A419" s="3" t="s">
        <v>146</v>
      </c>
      <c r="B419" s="3" t="s">
        <v>93</v>
      </c>
      <c r="C419" s="4" t="s">
        <v>338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7.25" x14ac:dyDescent="0.3">
      <c r="A420" s="3" t="s">
        <v>146</v>
      </c>
      <c r="B420" s="3" t="s">
        <v>95</v>
      </c>
      <c r="C420" s="4" t="s">
        <v>338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7.25" x14ac:dyDescent="0.3">
      <c r="A421" s="3" t="s">
        <v>146</v>
      </c>
      <c r="B421" s="3" t="s">
        <v>145</v>
      </c>
      <c r="C421" s="4" t="s">
        <v>340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7.25" x14ac:dyDescent="0.3">
      <c r="A422" s="3" t="s">
        <v>146</v>
      </c>
      <c r="B422" s="3" t="s">
        <v>145</v>
      </c>
      <c r="C422" s="4" t="s">
        <v>339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7.25" x14ac:dyDescent="0.3">
      <c r="A423" s="3" t="s">
        <v>146</v>
      </c>
      <c r="B423" s="3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7.25" x14ac:dyDescent="0.3">
      <c r="A424" s="3" t="s">
        <v>146</v>
      </c>
      <c r="B424" s="3" t="s">
        <v>69</v>
      </c>
      <c r="C424" s="4" t="s">
        <v>338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7.25" x14ac:dyDescent="0.3">
      <c r="A425" s="3" t="s">
        <v>146</v>
      </c>
      <c r="B425" s="3" t="s">
        <v>23</v>
      </c>
      <c r="C425" s="4" t="s">
        <v>340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7.25" x14ac:dyDescent="0.3">
      <c r="A426" s="22" t="s">
        <v>147</v>
      </c>
      <c r="B426" s="3" t="s">
        <v>19</v>
      </c>
      <c r="C426" s="4" t="s">
        <v>337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7.25" x14ac:dyDescent="0.3">
      <c r="A427" s="22" t="s">
        <v>147</v>
      </c>
      <c r="B427" s="3" t="s">
        <v>14</v>
      </c>
      <c r="C427" s="4" t="s">
        <v>344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7.25" x14ac:dyDescent="0.3">
      <c r="A428" s="3" t="s">
        <v>147</v>
      </c>
      <c r="B428" s="3" t="s">
        <v>41</v>
      </c>
      <c r="C428" s="4" t="s">
        <v>341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7.25" x14ac:dyDescent="0.3">
      <c r="A429" s="3" t="s">
        <v>147</v>
      </c>
      <c r="B429" s="3" t="s">
        <v>33</v>
      </c>
      <c r="C429" s="4" t="s">
        <v>337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7.25" x14ac:dyDescent="0.3">
      <c r="A430" s="3" t="s">
        <v>147</v>
      </c>
      <c r="B430" s="3" t="s">
        <v>33</v>
      </c>
      <c r="C430" s="4" t="s">
        <v>342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7.25" x14ac:dyDescent="0.3">
      <c r="A431" s="3" t="s">
        <v>147</v>
      </c>
      <c r="B431" s="3" t="s">
        <v>33</v>
      </c>
      <c r="C431" s="4" t="s">
        <v>344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7.25" x14ac:dyDescent="0.3">
      <c r="A432" s="22" t="s">
        <v>148</v>
      </c>
      <c r="B432" s="3" t="s">
        <v>27</v>
      </c>
      <c r="C432" s="4" t="s">
        <v>341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7.25" x14ac:dyDescent="0.3">
      <c r="A433" s="3" t="s">
        <v>148</v>
      </c>
      <c r="B433" s="3" t="s">
        <v>23</v>
      </c>
      <c r="C433" s="4" t="s">
        <v>342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7.25" x14ac:dyDescent="0.3">
      <c r="A434" s="3" t="s">
        <v>148</v>
      </c>
      <c r="B434" s="3" t="s">
        <v>23</v>
      </c>
      <c r="C434" s="4" t="s">
        <v>342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7.25" x14ac:dyDescent="0.3">
      <c r="A435" s="3" t="s">
        <v>148</v>
      </c>
      <c r="B435" s="3" t="s">
        <v>29</v>
      </c>
      <c r="C435" s="4" t="s">
        <v>341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7.25" x14ac:dyDescent="0.3">
      <c r="A436" s="22" t="s">
        <v>148</v>
      </c>
      <c r="B436" s="3" t="s">
        <v>30</v>
      </c>
      <c r="C436" s="4" t="s">
        <v>339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7.25" x14ac:dyDescent="0.3">
      <c r="A437" s="22" t="s">
        <v>148</v>
      </c>
      <c r="B437" s="3" t="s">
        <v>30</v>
      </c>
      <c r="C437" s="4" t="s">
        <v>339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7.25" x14ac:dyDescent="0.3">
      <c r="A438" s="3" t="s">
        <v>148</v>
      </c>
      <c r="B438" s="3" t="s">
        <v>24</v>
      </c>
      <c r="C438" s="4" t="s">
        <v>338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7.25" x14ac:dyDescent="0.3">
      <c r="A439" s="3" t="s">
        <v>149</v>
      </c>
      <c r="B439" s="3" t="s">
        <v>43</v>
      </c>
      <c r="C439" s="4" t="s">
        <v>344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7.25" x14ac:dyDescent="0.3">
      <c r="A440" s="3" t="s">
        <v>149</v>
      </c>
      <c r="B440" s="3" t="s">
        <v>150</v>
      </c>
      <c r="C440" s="4" t="s">
        <v>344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7.25" x14ac:dyDescent="0.3">
      <c r="A441" s="22" t="s">
        <v>152</v>
      </c>
      <c r="B441" s="3" t="s">
        <v>63</v>
      </c>
      <c r="C441" s="4" t="s">
        <v>338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7.25" x14ac:dyDescent="0.3">
      <c r="A442" s="22" t="s">
        <v>152</v>
      </c>
      <c r="B442" s="3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7.25" x14ac:dyDescent="0.3">
      <c r="A443" s="3" t="s">
        <v>152</v>
      </c>
      <c r="B443" s="3" t="s">
        <v>23</v>
      </c>
      <c r="C443" s="4" t="s">
        <v>342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7.25" x14ac:dyDescent="0.3">
      <c r="A444" s="3" t="s">
        <v>152</v>
      </c>
      <c r="B444" s="3" t="s">
        <v>93</v>
      </c>
      <c r="C444" s="4" t="s">
        <v>337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7.25" x14ac:dyDescent="0.3">
      <c r="A445" s="3" t="s">
        <v>152</v>
      </c>
      <c r="B445" s="3" t="s">
        <v>95</v>
      </c>
      <c r="C445" s="4" t="s">
        <v>337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7.25" x14ac:dyDescent="0.3">
      <c r="A446" s="3" t="s">
        <v>152</v>
      </c>
      <c r="B446" s="3" t="s">
        <v>41</v>
      </c>
      <c r="C446" s="4" t="s">
        <v>341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7.25" x14ac:dyDescent="0.3">
      <c r="A447" s="3" t="s">
        <v>152</v>
      </c>
      <c r="B447" s="3" t="s">
        <v>25</v>
      </c>
      <c r="C447" s="4" t="s">
        <v>344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7.25" x14ac:dyDescent="0.3">
      <c r="A448" s="3" t="s">
        <v>152</v>
      </c>
      <c r="B448" s="3" t="s">
        <v>31</v>
      </c>
      <c r="C448" s="4" t="s">
        <v>344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7.25" x14ac:dyDescent="0.3">
      <c r="A449" s="22" t="s">
        <v>153</v>
      </c>
      <c r="B449" s="3" t="s">
        <v>75</v>
      </c>
      <c r="C449" s="4" t="s">
        <v>342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7.25" x14ac:dyDescent="0.3">
      <c r="A450" s="22" t="s">
        <v>153</v>
      </c>
      <c r="B450" s="3" t="s">
        <v>48</v>
      </c>
      <c r="C450" s="4" t="s">
        <v>344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7.25" x14ac:dyDescent="0.3">
      <c r="A451" s="22" t="s">
        <v>153</v>
      </c>
      <c r="B451" s="3" t="s">
        <v>63</v>
      </c>
      <c r="C451" s="4" t="s">
        <v>339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7.25" x14ac:dyDescent="0.3">
      <c r="A452" s="22" t="s">
        <v>153</v>
      </c>
      <c r="B452" s="3" t="s">
        <v>27</v>
      </c>
      <c r="C452" s="4" t="s">
        <v>341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7.25" x14ac:dyDescent="0.3">
      <c r="A453" s="22" t="s">
        <v>153</v>
      </c>
      <c r="B453" s="3" t="s">
        <v>27</v>
      </c>
      <c r="C453" s="4" t="s">
        <v>341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7.25" x14ac:dyDescent="0.3">
      <c r="A454" s="3" t="s">
        <v>153</v>
      </c>
      <c r="B454" s="3" t="s">
        <v>29</v>
      </c>
      <c r="C454" s="4" t="s">
        <v>341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7.25" x14ac:dyDescent="0.3">
      <c r="A455" s="3" t="s">
        <v>153</v>
      </c>
      <c r="B455" s="3" t="s">
        <v>29</v>
      </c>
      <c r="C455" s="4" t="s">
        <v>341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7.25" x14ac:dyDescent="0.3">
      <c r="A456" s="3" t="s">
        <v>153</v>
      </c>
      <c r="B456" s="3" t="s">
        <v>24</v>
      </c>
      <c r="C456" s="4" t="s">
        <v>344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7.25" x14ac:dyDescent="0.3">
      <c r="A457" s="3" t="s">
        <v>153</v>
      </c>
      <c r="B457" s="3" t="s">
        <v>24</v>
      </c>
      <c r="C457" s="4" t="s">
        <v>341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7.25" x14ac:dyDescent="0.3">
      <c r="A458" s="3" t="s">
        <v>153</v>
      </c>
      <c r="B458" s="3" t="s">
        <v>24</v>
      </c>
      <c r="C458" s="4" t="s">
        <v>338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7.25" x14ac:dyDescent="0.3">
      <c r="A459" s="22" t="s">
        <v>153</v>
      </c>
      <c r="B459" s="3" t="s">
        <v>23</v>
      </c>
      <c r="C459" s="4" t="s">
        <v>337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7.25" x14ac:dyDescent="0.3">
      <c r="A460" s="22" t="s">
        <v>153</v>
      </c>
      <c r="B460" s="3" t="s">
        <v>23</v>
      </c>
      <c r="C460" s="4" t="s">
        <v>337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7.25" x14ac:dyDescent="0.3">
      <c r="A461" s="3" t="s">
        <v>153</v>
      </c>
      <c r="B461" s="3" t="s">
        <v>239</v>
      </c>
      <c r="C461" s="4" t="s">
        <v>339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7.25" x14ac:dyDescent="0.3">
      <c r="A462" s="3" t="s">
        <v>153</v>
      </c>
      <c r="B462" s="3" t="s">
        <v>240</v>
      </c>
      <c r="C462" s="4" t="s">
        <v>339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7.25" x14ac:dyDescent="0.3">
      <c r="A463" s="3" t="s">
        <v>153</v>
      </c>
      <c r="B463" s="3" t="s">
        <v>241</v>
      </c>
      <c r="C463" s="4" t="s">
        <v>339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7.25" x14ac:dyDescent="0.3">
      <c r="A464" s="22" t="s">
        <v>155</v>
      </c>
      <c r="B464" s="3" t="s">
        <v>48</v>
      </c>
      <c r="C464" s="4" t="s">
        <v>344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7.25" x14ac:dyDescent="0.3">
      <c r="A465" s="22" t="s">
        <v>153</v>
      </c>
      <c r="B465" s="3" t="s">
        <v>19</v>
      </c>
      <c r="C465" s="4" t="s">
        <v>344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7.25" x14ac:dyDescent="0.3">
      <c r="A466" s="22" t="s">
        <v>155</v>
      </c>
      <c r="B466" s="3" t="s">
        <v>16</v>
      </c>
      <c r="C466" s="4" t="s">
        <v>338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7.25" x14ac:dyDescent="0.3">
      <c r="A467" s="22" t="s">
        <v>155</v>
      </c>
      <c r="B467" s="3" t="s">
        <v>16</v>
      </c>
      <c r="C467" s="4" t="s">
        <v>337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7.25" x14ac:dyDescent="0.3">
      <c r="A468" s="22" t="s">
        <v>155</v>
      </c>
      <c r="B468" s="3" t="s">
        <v>16</v>
      </c>
      <c r="C468" s="4" t="s">
        <v>338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7.25" x14ac:dyDescent="0.3">
      <c r="A469" s="22" t="s">
        <v>155</v>
      </c>
      <c r="B469" s="3" t="s">
        <v>14</v>
      </c>
      <c r="C469" s="4" t="s">
        <v>344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7.25" x14ac:dyDescent="0.3">
      <c r="A470" s="22" t="s">
        <v>155</v>
      </c>
      <c r="B470" s="3" t="s">
        <v>102</v>
      </c>
      <c r="C470" s="4" t="s">
        <v>342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7.25" x14ac:dyDescent="0.3">
      <c r="A471" s="22" t="s">
        <v>155</v>
      </c>
      <c r="B471" s="3" t="s">
        <v>150</v>
      </c>
      <c r="C471" s="4" t="s">
        <v>344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7.25" x14ac:dyDescent="0.3">
      <c r="A472" s="22" t="s">
        <v>155</v>
      </c>
      <c r="B472" s="3" t="s">
        <v>150</v>
      </c>
      <c r="C472" s="4" t="s">
        <v>342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7.25" x14ac:dyDescent="0.3">
      <c r="A473" s="22" t="s">
        <v>155</v>
      </c>
      <c r="B473" s="3" t="s">
        <v>14</v>
      </c>
      <c r="C473" s="4" t="s">
        <v>337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7.25" x14ac:dyDescent="0.3">
      <c r="A474" s="22" t="s">
        <v>155</v>
      </c>
      <c r="B474" s="3" t="s">
        <v>23</v>
      </c>
      <c r="C474" s="4" t="s">
        <v>337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7.25" x14ac:dyDescent="0.3">
      <c r="A475" s="3" t="s">
        <v>155</v>
      </c>
      <c r="B475" s="3" t="s">
        <v>23</v>
      </c>
      <c r="C475" s="4" t="s">
        <v>342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7.25" x14ac:dyDescent="0.3">
      <c r="A476" s="3" t="s">
        <v>155</v>
      </c>
      <c r="B476" s="3" t="s">
        <v>23</v>
      </c>
      <c r="C476" s="4" t="s">
        <v>342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7.25" x14ac:dyDescent="0.3">
      <c r="A477" s="3" t="s">
        <v>155</v>
      </c>
      <c r="B477" s="3" t="s">
        <v>93</v>
      </c>
      <c r="C477" s="4" t="s">
        <v>342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7.25" x14ac:dyDescent="0.3">
      <c r="A478" s="22" t="s">
        <v>155</v>
      </c>
      <c r="B478" s="3" t="s">
        <v>66</v>
      </c>
      <c r="C478" s="4" t="s">
        <v>339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7.25" x14ac:dyDescent="0.3">
      <c r="A479" s="22" t="s">
        <v>155</v>
      </c>
      <c r="B479" s="3" t="s">
        <v>95</v>
      </c>
      <c r="C479" s="4" t="s">
        <v>342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7.25" x14ac:dyDescent="0.3">
      <c r="A480" s="3" t="s">
        <v>155</v>
      </c>
      <c r="B480" s="3" t="s">
        <v>24</v>
      </c>
      <c r="C480" s="4" t="s">
        <v>338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7.25" x14ac:dyDescent="0.3">
      <c r="A481" s="3" t="s">
        <v>155</v>
      </c>
      <c r="B481" s="3" t="s">
        <v>41</v>
      </c>
      <c r="C481" s="4" t="s">
        <v>341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7.25" x14ac:dyDescent="0.3">
      <c r="A482" s="3" t="s">
        <v>155</v>
      </c>
      <c r="B482" s="3" t="s">
        <v>33</v>
      </c>
      <c r="C482" s="4" t="s">
        <v>338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7.25" x14ac:dyDescent="0.3">
      <c r="A483" s="3" t="s">
        <v>155</v>
      </c>
      <c r="B483" s="3" t="s">
        <v>33</v>
      </c>
      <c r="C483" s="4" t="s">
        <v>344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7.25" x14ac:dyDescent="0.3">
      <c r="A484" s="3" t="s">
        <v>155</v>
      </c>
      <c r="B484" s="8" t="s">
        <v>66</v>
      </c>
      <c r="C484" s="4" t="s">
        <v>340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7.25" x14ac:dyDescent="0.3">
      <c r="A485" s="3" t="s">
        <v>155</v>
      </c>
      <c r="B485" s="3" t="s">
        <v>21</v>
      </c>
      <c r="C485" s="4" t="s">
        <v>340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7.25" x14ac:dyDescent="0.3">
      <c r="A486" s="22" t="s">
        <v>157</v>
      </c>
      <c r="B486" s="3" t="s">
        <v>8</v>
      </c>
      <c r="C486" s="4" t="s">
        <v>338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7.25" x14ac:dyDescent="0.3">
      <c r="A487" s="22" t="s">
        <v>157</v>
      </c>
      <c r="B487" s="3" t="s">
        <v>27</v>
      </c>
      <c r="C487" s="4" t="s">
        <v>341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7.25" x14ac:dyDescent="0.3">
      <c r="A488" s="22" t="s">
        <v>157</v>
      </c>
      <c r="B488" s="3" t="s">
        <v>27</v>
      </c>
      <c r="C488" s="4" t="s">
        <v>341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7.25" x14ac:dyDescent="0.3">
      <c r="A489" s="22" t="s">
        <v>157</v>
      </c>
      <c r="B489" s="3" t="s">
        <v>102</v>
      </c>
      <c r="C489" s="4" t="s">
        <v>337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7.25" x14ac:dyDescent="0.3">
      <c r="A490" s="22" t="s">
        <v>157</v>
      </c>
      <c r="B490" s="3" t="s">
        <v>46</v>
      </c>
      <c r="C490" s="4" t="s">
        <v>344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7.25" x14ac:dyDescent="0.3">
      <c r="A491" s="22" t="s">
        <v>157</v>
      </c>
      <c r="B491" s="3" t="s">
        <v>150</v>
      </c>
      <c r="C491" s="4" t="s">
        <v>342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7.25" x14ac:dyDescent="0.3">
      <c r="A492" s="3" t="s">
        <v>157</v>
      </c>
      <c r="B492" s="3" t="s">
        <v>23</v>
      </c>
      <c r="C492" s="4" t="s">
        <v>342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7.25" x14ac:dyDescent="0.3">
      <c r="A493" s="3" t="s">
        <v>157</v>
      </c>
      <c r="B493" s="3" t="s">
        <v>29</v>
      </c>
      <c r="C493" s="4" t="s">
        <v>341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7.25" x14ac:dyDescent="0.3">
      <c r="A494" s="3" t="s">
        <v>157</v>
      </c>
      <c r="B494" s="3" t="s">
        <v>29</v>
      </c>
      <c r="C494" s="4" t="s">
        <v>341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7.25" x14ac:dyDescent="0.3">
      <c r="A495" s="3" t="s">
        <v>157</v>
      </c>
      <c r="B495" s="3" t="s">
        <v>51</v>
      </c>
      <c r="C495" s="4" t="s">
        <v>337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7.25" x14ac:dyDescent="0.3">
      <c r="A496" s="3" t="s">
        <v>157</v>
      </c>
      <c r="B496" s="3" t="s">
        <v>103</v>
      </c>
      <c r="C496" s="4" t="s">
        <v>337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7.25" x14ac:dyDescent="0.3">
      <c r="A497" s="3" t="s">
        <v>157</v>
      </c>
      <c r="B497" s="3" t="s">
        <v>31</v>
      </c>
      <c r="C497" s="4" t="s">
        <v>344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7.25" x14ac:dyDescent="0.3">
      <c r="A498" s="3" t="s">
        <v>157</v>
      </c>
      <c r="B498" s="3" t="s">
        <v>31</v>
      </c>
      <c r="C498" s="4" t="s">
        <v>343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7.25" x14ac:dyDescent="0.3">
      <c r="A499" s="3" t="s">
        <v>157</v>
      </c>
      <c r="B499" s="3" t="s">
        <v>69</v>
      </c>
      <c r="C499" s="4" t="s">
        <v>344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7.25" x14ac:dyDescent="0.3">
      <c r="A500" s="3" t="s">
        <v>157</v>
      </c>
      <c r="B500" s="3" t="s">
        <v>33</v>
      </c>
      <c r="C500" s="4" t="s">
        <v>338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7.25" x14ac:dyDescent="0.3">
      <c r="A501" s="3" t="s">
        <v>157</v>
      </c>
      <c r="B501" s="3" t="s">
        <v>21</v>
      </c>
      <c r="C501" s="4" t="s">
        <v>339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7.25" x14ac:dyDescent="0.3">
      <c r="A502" s="22" t="s">
        <v>158</v>
      </c>
      <c r="B502" s="3" t="s">
        <v>75</v>
      </c>
      <c r="C502" s="4" t="s">
        <v>337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7.25" x14ac:dyDescent="0.3">
      <c r="A503" s="22" t="s">
        <v>158</v>
      </c>
      <c r="B503" s="3" t="s">
        <v>60</v>
      </c>
      <c r="C503" s="4" t="s">
        <v>342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7.25" x14ac:dyDescent="0.3">
      <c r="A504" s="22" t="s">
        <v>158</v>
      </c>
      <c r="B504" s="3" t="s">
        <v>27</v>
      </c>
      <c r="C504" s="4" t="s">
        <v>344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7.25" x14ac:dyDescent="0.3">
      <c r="A505" s="22" t="s">
        <v>158</v>
      </c>
      <c r="B505" s="3" t="s">
        <v>27</v>
      </c>
      <c r="C505" s="4" t="s">
        <v>341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7.25" x14ac:dyDescent="0.3">
      <c r="A506" s="22" t="s">
        <v>158</v>
      </c>
      <c r="B506" s="3" t="s">
        <v>27</v>
      </c>
      <c r="C506" s="4" t="s">
        <v>341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7.25" x14ac:dyDescent="0.3">
      <c r="A507" s="22" t="s">
        <v>159</v>
      </c>
      <c r="B507" s="3" t="s">
        <v>21</v>
      </c>
      <c r="C507" s="4" t="s">
        <v>344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7.25" x14ac:dyDescent="0.3">
      <c r="A508" s="22" t="s">
        <v>159</v>
      </c>
      <c r="B508" s="3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7.25" x14ac:dyDescent="0.3">
      <c r="A509" s="3" t="s">
        <v>158</v>
      </c>
      <c r="B509" s="3" t="s">
        <v>24</v>
      </c>
      <c r="C509" s="4" t="s">
        <v>341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7.25" x14ac:dyDescent="0.3">
      <c r="A510" s="3" t="s">
        <v>158</v>
      </c>
      <c r="B510" s="3" t="s">
        <v>33</v>
      </c>
      <c r="C510" s="4" t="s">
        <v>340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7.25" x14ac:dyDescent="0.3">
      <c r="A511" s="22" t="s">
        <v>159</v>
      </c>
      <c r="B511" s="3" t="s">
        <v>19</v>
      </c>
      <c r="C511" s="4" t="s">
        <v>344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7.25" x14ac:dyDescent="0.3">
      <c r="A512" s="22" t="s">
        <v>159</v>
      </c>
      <c r="B512" s="3" t="s">
        <v>8</v>
      </c>
      <c r="C512" s="4" t="s">
        <v>342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7.25" x14ac:dyDescent="0.3">
      <c r="A513" s="22" t="s">
        <v>159</v>
      </c>
      <c r="B513" s="3" t="s">
        <v>66</v>
      </c>
      <c r="C513" s="4" t="s">
        <v>338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7.25" x14ac:dyDescent="0.3">
      <c r="A514" s="22" t="s">
        <v>159</v>
      </c>
      <c r="B514" s="3" t="s">
        <v>46</v>
      </c>
      <c r="C514" s="4" t="s">
        <v>344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7.25" x14ac:dyDescent="0.3">
      <c r="A515" s="3" t="s">
        <v>159</v>
      </c>
      <c r="B515" s="3" t="s">
        <v>31</v>
      </c>
      <c r="C515" s="4" t="s">
        <v>337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7.25" x14ac:dyDescent="0.3">
      <c r="A516" s="3" t="s">
        <v>159</v>
      </c>
      <c r="B516" s="3" t="s">
        <v>29</v>
      </c>
      <c r="C516" s="4" t="s">
        <v>341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7.25" x14ac:dyDescent="0.3">
      <c r="A517" s="3" t="s">
        <v>159</v>
      </c>
      <c r="B517" s="3" t="s">
        <v>29</v>
      </c>
      <c r="C517" s="4" t="s">
        <v>344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7.25" x14ac:dyDescent="0.3">
      <c r="A518" s="3" t="s">
        <v>159</v>
      </c>
      <c r="B518" s="3" t="s">
        <v>29</v>
      </c>
      <c r="C518" s="4" t="s">
        <v>341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7.25" x14ac:dyDescent="0.3">
      <c r="A519" s="3" t="s">
        <v>159</v>
      </c>
      <c r="B519" s="3" t="s">
        <v>41</v>
      </c>
      <c r="C519" s="4" t="s">
        <v>341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7.25" x14ac:dyDescent="0.3">
      <c r="A520" s="3" t="s">
        <v>159</v>
      </c>
      <c r="B520" s="3" t="s">
        <v>33</v>
      </c>
      <c r="C520" s="4" t="s">
        <v>344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7.25" x14ac:dyDescent="0.3">
      <c r="A521" s="22" t="s">
        <v>159</v>
      </c>
      <c r="B521" s="3" t="s">
        <v>5</v>
      </c>
      <c r="C521" s="4" t="s">
        <v>337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7.25" x14ac:dyDescent="0.3">
      <c r="A522" s="22" t="s">
        <v>160</v>
      </c>
      <c r="B522" s="3" t="s">
        <v>48</v>
      </c>
      <c r="C522" s="4" t="s">
        <v>344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7.25" x14ac:dyDescent="0.3">
      <c r="A523" s="22" t="s">
        <v>160</v>
      </c>
      <c r="B523" s="3" t="s">
        <v>60</v>
      </c>
      <c r="C523" s="4" t="s">
        <v>344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7.25" x14ac:dyDescent="0.3">
      <c r="A524" s="22" t="s">
        <v>160</v>
      </c>
      <c r="B524" s="3" t="s">
        <v>60</v>
      </c>
      <c r="C524" s="4" t="s">
        <v>342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7.25" x14ac:dyDescent="0.3">
      <c r="A525" s="22" t="s">
        <v>160</v>
      </c>
      <c r="B525" s="3" t="s">
        <v>27</v>
      </c>
      <c r="C525" s="4" t="s">
        <v>341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7.25" x14ac:dyDescent="0.3">
      <c r="A526" s="3" t="s">
        <v>160</v>
      </c>
      <c r="B526" s="3" t="s">
        <v>23</v>
      </c>
      <c r="C526" s="4" t="s">
        <v>342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7.25" x14ac:dyDescent="0.3">
      <c r="A527" s="3" t="s">
        <v>160</v>
      </c>
      <c r="B527" s="3" t="s">
        <v>23</v>
      </c>
      <c r="C527" s="4" t="s">
        <v>342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7.25" x14ac:dyDescent="0.3">
      <c r="A528" s="22" t="s">
        <v>161</v>
      </c>
      <c r="B528" s="3" t="s">
        <v>21</v>
      </c>
      <c r="C528" s="4" t="s">
        <v>344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7.25" x14ac:dyDescent="0.3">
      <c r="A529" s="22" t="s">
        <v>161</v>
      </c>
      <c r="B529" s="3" t="s">
        <v>21</v>
      </c>
      <c r="C529" s="4" t="s">
        <v>344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7.25" x14ac:dyDescent="0.3">
      <c r="A530" s="22" t="s">
        <v>161</v>
      </c>
      <c r="B530" s="3" t="s">
        <v>75</v>
      </c>
      <c r="C530" s="4" t="s">
        <v>342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7.25" x14ac:dyDescent="0.3">
      <c r="A531" s="22" t="s">
        <v>161</v>
      </c>
      <c r="B531" s="3" t="s">
        <v>48</v>
      </c>
      <c r="C531" s="4" t="s">
        <v>344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7.25" x14ac:dyDescent="0.3">
      <c r="A532" s="3" t="s">
        <v>161</v>
      </c>
      <c r="B532" s="3" t="s">
        <v>102</v>
      </c>
      <c r="C532" s="4" t="s">
        <v>338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7.25" x14ac:dyDescent="0.3">
      <c r="A533" s="22" t="s">
        <v>161</v>
      </c>
      <c r="B533" s="3" t="s">
        <v>102</v>
      </c>
      <c r="C533" s="4" t="s">
        <v>342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7.25" x14ac:dyDescent="0.3">
      <c r="A534" s="22" t="s">
        <v>161</v>
      </c>
      <c r="B534" s="3" t="s">
        <v>46</v>
      </c>
      <c r="C534" s="4" t="s">
        <v>344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7.25" x14ac:dyDescent="0.3">
      <c r="A535" s="22" t="s">
        <v>161</v>
      </c>
      <c r="B535" s="3" t="s">
        <v>46</v>
      </c>
      <c r="C535" s="4" t="s">
        <v>344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7.25" x14ac:dyDescent="0.3">
      <c r="A536" s="22" t="s">
        <v>161</v>
      </c>
      <c r="B536" s="3" t="s">
        <v>150</v>
      </c>
      <c r="C536" s="4" t="s">
        <v>342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7.25" x14ac:dyDescent="0.3">
      <c r="A537" s="3" t="s">
        <v>161</v>
      </c>
      <c r="B537" s="3" t="s">
        <v>23</v>
      </c>
      <c r="C537" s="4" t="s">
        <v>342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7.25" x14ac:dyDescent="0.3">
      <c r="A538" s="3" t="s">
        <v>161</v>
      </c>
      <c r="B538" s="3" t="s">
        <v>23</v>
      </c>
      <c r="C538" s="4" t="s">
        <v>342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7.25" x14ac:dyDescent="0.3">
      <c r="A539" s="3" t="s">
        <v>161</v>
      </c>
      <c r="B539" s="3" t="s">
        <v>23</v>
      </c>
      <c r="C539" s="4" t="s">
        <v>342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7.25" x14ac:dyDescent="0.3">
      <c r="A540" s="3" t="s">
        <v>161</v>
      </c>
      <c r="B540" s="3" t="s">
        <v>29</v>
      </c>
      <c r="C540" s="4" t="s">
        <v>341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7.25" x14ac:dyDescent="0.3">
      <c r="A541" s="3" t="s">
        <v>161</v>
      </c>
      <c r="B541" s="3" t="s">
        <v>93</v>
      </c>
      <c r="C541" s="4" t="s">
        <v>338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7.25" x14ac:dyDescent="0.3">
      <c r="A542" s="3" t="s">
        <v>161</v>
      </c>
      <c r="B542" s="3" t="s">
        <v>93</v>
      </c>
      <c r="C542" s="4" t="s">
        <v>342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7.25" x14ac:dyDescent="0.3">
      <c r="A543" s="3" t="s">
        <v>161</v>
      </c>
      <c r="B543" s="3" t="s">
        <v>51</v>
      </c>
      <c r="C543" s="4" t="s">
        <v>344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7.25" x14ac:dyDescent="0.3">
      <c r="A544" s="22" t="s">
        <v>161</v>
      </c>
      <c r="B544" s="3" t="s">
        <v>95</v>
      </c>
      <c r="C544" s="4" t="s">
        <v>338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7.25" x14ac:dyDescent="0.3">
      <c r="A545" s="22" t="s">
        <v>161</v>
      </c>
      <c r="B545" s="3" t="s">
        <v>95</v>
      </c>
      <c r="C545" s="4" t="s">
        <v>342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7.25" x14ac:dyDescent="0.3">
      <c r="A546" s="3" t="s">
        <v>161</v>
      </c>
      <c r="B546" s="3" t="s">
        <v>24</v>
      </c>
      <c r="C546" s="4" t="s">
        <v>344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7.25" x14ac:dyDescent="0.3">
      <c r="A547" s="3" t="s">
        <v>161</v>
      </c>
      <c r="B547" s="3" t="s">
        <v>41</v>
      </c>
      <c r="C547" s="4" t="s">
        <v>341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7.25" x14ac:dyDescent="0.3">
      <c r="A548" s="3" t="s">
        <v>161</v>
      </c>
      <c r="B548" s="3" t="s">
        <v>41</v>
      </c>
      <c r="C548" s="4" t="s">
        <v>344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7.25" x14ac:dyDescent="0.3">
      <c r="A549" s="3" t="s">
        <v>161</v>
      </c>
      <c r="B549" s="3" t="s">
        <v>18</v>
      </c>
      <c r="C549" s="4" t="s">
        <v>337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7.25" x14ac:dyDescent="0.3">
      <c r="A550" s="3" t="s">
        <v>161</v>
      </c>
      <c r="B550" s="3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7.25" x14ac:dyDescent="0.3">
      <c r="A551" s="3" t="s">
        <v>161</v>
      </c>
      <c r="B551" s="3" t="s">
        <v>31</v>
      </c>
      <c r="C551" s="4" t="s">
        <v>342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7.25" x14ac:dyDescent="0.3">
      <c r="A552" s="3" t="s">
        <v>160</v>
      </c>
      <c r="B552" s="3" t="s">
        <v>69</v>
      </c>
      <c r="C552" s="4" t="s">
        <v>338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7.25" x14ac:dyDescent="0.3">
      <c r="A553" s="22" t="s">
        <v>164</v>
      </c>
      <c r="B553" s="3" t="s">
        <v>11</v>
      </c>
      <c r="C553" s="4" t="s">
        <v>343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7.25" x14ac:dyDescent="0.3">
      <c r="A554" s="3" t="s">
        <v>164</v>
      </c>
      <c r="B554" s="3" t="s">
        <v>11</v>
      </c>
      <c r="C554" s="4" t="s">
        <v>337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7.25" x14ac:dyDescent="0.3">
      <c r="A555" s="22" t="s">
        <v>164</v>
      </c>
      <c r="B555" s="3" t="s">
        <v>8</v>
      </c>
      <c r="C555" s="4" t="s">
        <v>337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7.25" x14ac:dyDescent="0.3">
      <c r="A556" s="22" t="s">
        <v>164</v>
      </c>
      <c r="B556" s="3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7.25" x14ac:dyDescent="0.3">
      <c r="A557" s="3" t="s">
        <v>164</v>
      </c>
      <c r="B557" s="3" t="s">
        <v>31</v>
      </c>
      <c r="C557" s="4" t="s">
        <v>337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7.25" x14ac:dyDescent="0.3">
      <c r="A558" s="3" t="s">
        <v>164</v>
      </c>
      <c r="B558" s="3" t="s">
        <v>14</v>
      </c>
      <c r="C558" s="4" t="s">
        <v>344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7.25" x14ac:dyDescent="0.3">
      <c r="A559" s="22" t="s">
        <v>164</v>
      </c>
      <c r="B559" s="3" t="s">
        <v>27</v>
      </c>
      <c r="C559" s="4" t="s">
        <v>341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7.25" x14ac:dyDescent="0.3">
      <c r="A560" s="22" t="s">
        <v>164</v>
      </c>
      <c r="B560" s="3" t="s">
        <v>150</v>
      </c>
      <c r="C560" s="4" t="s">
        <v>344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7.25" x14ac:dyDescent="0.3">
      <c r="A561" s="3" t="s">
        <v>164</v>
      </c>
      <c r="B561" s="3" t="s">
        <v>23</v>
      </c>
      <c r="C561" s="4" t="s">
        <v>342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7.25" x14ac:dyDescent="0.3">
      <c r="A562" s="3" t="s">
        <v>164</v>
      </c>
      <c r="B562" s="3" t="s">
        <v>29</v>
      </c>
      <c r="C562" s="4" t="s">
        <v>341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7.25" x14ac:dyDescent="0.3">
      <c r="A563" s="3" t="s">
        <v>164</v>
      </c>
      <c r="B563" s="3" t="s">
        <v>25</v>
      </c>
      <c r="C563" s="4" t="s">
        <v>337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7.25" x14ac:dyDescent="0.3">
      <c r="A564" s="3" t="s">
        <v>164</v>
      </c>
      <c r="B564" s="3" t="s">
        <v>25</v>
      </c>
      <c r="C564" s="4" t="s">
        <v>337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7.25" x14ac:dyDescent="0.3">
      <c r="A565" s="3" t="s">
        <v>164</v>
      </c>
      <c r="B565" s="3" t="s">
        <v>69</v>
      </c>
      <c r="C565" s="4" t="s">
        <v>338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7.25" x14ac:dyDescent="0.3">
      <c r="A566" s="3" t="s">
        <v>164</v>
      </c>
      <c r="B566" s="3" t="s">
        <v>69</v>
      </c>
      <c r="C566" s="4" t="s">
        <v>344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7.25" x14ac:dyDescent="0.3">
      <c r="A567" s="3" t="s">
        <v>165</v>
      </c>
      <c r="B567" s="3" t="s">
        <v>43</v>
      </c>
      <c r="C567" s="4" t="s">
        <v>337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7.25" x14ac:dyDescent="0.3">
      <c r="A568" s="3" t="s">
        <v>165</v>
      </c>
      <c r="B568" s="3" t="s">
        <v>43</v>
      </c>
      <c r="C568" s="4" t="s">
        <v>344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7.25" x14ac:dyDescent="0.3">
      <c r="A569" s="3" t="s">
        <v>165</v>
      </c>
      <c r="B569" s="3" t="s">
        <v>23</v>
      </c>
      <c r="C569" s="4" t="s">
        <v>340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7.25" x14ac:dyDescent="0.3">
      <c r="A570" s="3" t="s">
        <v>166</v>
      </c>
      <c r="B570" s="3" t="s">
        <v>11</v>
      </c>
      <c r="C570" s="4" t="s">
        <v>344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7.25" x14ac:dyDescent="0.3">
      <c r="A571" s="22" t="s">
        <v>166</v>
      </c>
      <c r="B571" s="3" t="s">
        <v>11</v>
      </c>
      <c r="C571" s="4" t="s">
        <v>339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7.25" x14ac:dyDescent="0.3">
      <c r="A572" s="22" t="s">
        <v>166</v>
      </c>
      <c r="B572" s="3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7.25" x14ac:dyDescent="0.3">
      <c r="A573" s="22" t="s">
        <v>166</v>
      </c>
      <c r="B573" s="3" t="s">
        <v>14</v>
      </c>
      <c r="C573" s="4" t="s">
        <v>343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7.25" x14ac:dyDescent="0.3">
      <c r="A574" s="22" t="s">
        <v>166</v>
      </c>
      <c r="B574" s="3" t="s">
        <v>102</v>
      </c>
      <c r="C574" s="4" t="s">
        <v>342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7.25" x14ac:dyDescent="0.3">
      <c r="A575" s="22" t="s">
        <v>166</v>
      </c>
      <c r="B575" s="3" t="s">
        <v>102</v>
      </c>
      <c r="C575" s="4" t="s">
        <v>337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7.25" x14ac:dyDescent="0.3">
      <c r="A576" s="22" t="s">
        <v>166</v>
      </c>
      <c r="B576" s="3" t="s">
        <v>150</v>
      </c>
      <c r="C576" s="4" t="s">
        <v>344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7.25" x14ac:dyDescent="0.3">
      <c r="A577" s="22" t="s">
        <v>166</v>
      </c>
      <c r="B577" s="3" t="s">
        <v>150</v>
      </c>
      <c r="C577" s="4" t="s">
        <v>342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7.25" x14ac:dyDescent="0.3">
      <c r="A578" s="3" t="s">
        <v>165</v>
      </c>
      <c r="B578" s="3" t="s">
        <v>93</v>
      </c>
      <c r="C578" s="4" t="s">
        <v>342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7.25" x14ac:dyDescent="0.3">
      <c r="A579" s="22" t="s">
        <v>166</v>
      </c>
      <c r="B579" s="3" t="s">
        <v>95</v>
      </c>
      <c r="C579" s="4" t="s">
        <v>342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7.25" x14ac:dyDescent="0.3">
      <c r="A580" s="3" t="s">
        <v>166</v>
      </c>
      <c r="B580" s="3" t="s">
        <v>41</v>
      </c>
      <c r="C580" s="4" t="s">
        <v>341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7.25" x14ac:dyDescent="0.3">
      <c r="A581" s="3" t="s">
        <v>166</v>
      </c>
      <c r="B581" s="3" t="s">
        <v>25</v>
      </c>
      <c r="C581" s="4" t="s">
        <v>344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7.25" x14ac:dyDescent="0.3">
      <c r="A582" s="3" t="s">
        <v>166</v>
      </c>
      <c r="B582" s="3" t="s">
        <v>69</v>
      </c>
      <c r="C582" s="4" t="s">
        <v>344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7.25" x14ac:dyDescent="0.3">
      <c r="A583" s="3" t="s">
        <v>166</v>
      </c>
      <c r="B583" s="3" t="s">
        <v>33</v>
      </c>
      <c r="C583" s="4" t="s">
        <v>344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7.25" x14ac:dyDescent="0.3">
      <c r="A584" s="22" t="s">
        <v>167</v>
      </c>
      <c r="B584" s="3" t="s">
        <v>75</v>
      </c>
      <c r="C584" s="4" t="s">
        <v>344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7.25" x14ac:dyDescent="0.3">
      <c r="A585" s="22" t="s">
        <v>167</v>
      </c>
      <c r="B585" s="3" t="s">
        <v>48</v>
      </c>
      <c r="C585" s="4" t="s">
        <v>344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7.25" x14ac:dyDescent="0.3">
      <c r="A586" s="22" t="s">
        <v>167</v>
      </c>
      <c r="B586" s="3" t="s">
        <v>60</v>
      </c>
      <c r="C586" s="4" t="s">
        <v>343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7.25" x14ac:dyDescent="0.3">
      <c r="A587" s="22" t="s">
        <v>167</v>
      </c>
      <c r="B587" s="3" t="s">
        <v>27</v>
      </c>
      <c r="C587" s="4" t="s">
        <v>341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7.25" x14ac:dyDescent="0.3">
      <c r="A588" s="3" t="s">
        <v>167</v>
      </c>
      <c r="B588" s="3" t="s">
        <v>24</v>
      </c>
      <c r="C588" s="4" t="s">
        <v>341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7.25" x14ac:dyDescent="0.3">
      <c r="A589" s="3" t="s">
        <v>167</v>
      </c>
      <c r="B589" s="3" t="s">
        <v>43</v>
      </c>
      <c r="C589" s="4" t="s">
        <v>344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7.25" x14ac:dyDescent="0.3">
      <c r="A590" s="22" t="s">
        <v>169</v>
      </c>
      <c r="B590" s="3" t="s">
        <v>48</v>
      </c>
      <c r="C590" s="4" t="s">
        <v>344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7.25" x14ac:dyDescent="0.3">
      <c r="A591" s="22" t="s">
        <v>169</v>
      </c>
      <c r="B591" s="3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7.25" x14ac:dyDescent="0.3">
      <c r="A592" s="22" t="s">
        <v>169</v>
      </c>
      <c r="B592" s="3" t="s">
        <v>46</v>
      </c>
      <c r="C592" s="4" t="s">
        <v>338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7.25" x14ac:dyDescent="0.3">
      <c r="A593" s="22" t="s">
        <v>169</v>
      </c>
      <c r="B593" s="3" t="s">
        <v>150</v>
      </c>
      <c r="C593" s="4" t="s">
        <v>344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7.25" x14ac:dyDescent="0.3">
      <c r="A594" s="3" t="s">
        <v>169</v>
      </c>
      <c r="B594" s="3" t="s">
        <v>29</v>
      </c>
      <c r="C594" s="4" t="s">
        <v>341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7.25" x14ac:dyDescent="0.3">
      <c r="A595" s="3" t="s">
        <v>169</v>
      </c>
      <c r="B595" s="3" t="s">
        <v>24</v>
      </c>
      <c r="C595" s="4" t="s">
        <v>338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7.25" x14ac:dyDescent="0.3">
      <c r="A596" s="3" t="s">
        <v>169</v>
      </c>
      <c r="B596" s="3" t="s">
        <v>24</v>
      </c>
      <c r="C596" s="4" t="s">
        <v>344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7.25" x14ac:dyDescent="0.3">
      <c r="A597" s="3" t="s">
        <v>169</v>
      </c>
      <c r="B597" s="3" t="s">
        <v>41</v>
      </c>
      <c r="C597" s="4" t="s">
        <v>341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7.25" x14ac:dyDescent="0.3">
      <c r="A598" s="3" t="s">
        <v>169</v>
      </c>
      <c r="B598" s="3" t="s">
        <v>41</v>
      </c>
      <c r="C598" s="4" t="s">
        <v>342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7.25" x14ac:dyDescent="0.3">
      <c r="A599" s="3" t="s">
        <v>169</v>
      </c>
      <c r="B599" s="3" t="s">
        <v>99</v>
      </c>
      <c r="C599" s="4" t="s">
        <v>342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7.25" x14ac:dyDescent="0.3">
      <c r="A600" s="3" t="s">
        <v>169</v>
      </c>
      <c r="B600" s="3" t="s">
        <v>43</v>
      </c>
      <c r="C600" s="4" t="s">
        <v>344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7.25" x14ac:dyDescent="0.3">
      <c r="A601" s="3" t="s">
        <v>169</v>
      </c>
      <c r="B601" s="3" t="s">
        <v>31</v>
      </c>
      <c r="C601" s="4" t="s">
        <v>344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7.25" x14ac:dyDescent="0.3">
      <c r="A602" s="3" t="s">
        <v>169</v>
      </c>
      <c r="B602" s="3" t="s">
        <v>33</v>
      </c>
      <c r="C602" s="4" t="s">
        <v>342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7.25" x14ac:dyDescent="0.3">
      <c r="A603" s="22" t="s">
        <v>170</v>
      </c>
      <c r="B603" s="3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7.25" x14ac:dyDescent="0.3">
      <c r="A604" s="22" t="s">
        <v>170</v>
      </c>
      <c r="B604" s="3" t="s">
        <v>27</v>
      </c>
      <c r="C604" s="4" t="s">
        <v>341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7.25" x14ac:dyDescent="0.3">
      <c r="A605" s="22" t="s">
        <v>170</v>
      </c>
      <c r="B605" s="3" t="s">
        <v>46</v>
      </c>
      <c r="C605" s="4" t="s">
        <v>342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7.25" x14ac:dyDescent="0.3">
      <c r="A606" s="3" t="s">
        <v>170</v>
      </c>
      <c r="B606" s="3" t="s">
        <v>150</v>
      </c>
      <c r="C606" s="4" t="s">
        <v>342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7.25" x14ac:dyDescent="0.3">
      <c r="A607" s="3" t="s">
        <v>170</v>
      </c>
      <c r="B607" s="3" t="s">
        <v>29</v>
      </c>
      <c r="C607" s="4" t="s">
        <v>341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7.25" x14ac:dyDescent="0.3">
      <c r="A608" s="3" t="s">
        <v>170</v>
      </c>
      <c r="B608" s="3" t="s">
        <v>41</v>
      </c>
      <c r="C608" s="4" t="s">
        <v>341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7.25" x14ac:dyDescent="0.3">
      <c r="A609" s="3" t="s">
        <v>170</v>
      </c>
      <c r="B609" s="3" t="s">
        <v>21</v>
      </c>
      <c r="C609" s="4" t="s">
        <v>339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7.25" x14ac:dyDescent="0.3">
      <c r="A610" s="22" t="s">
        <v>171</v>
      </c>
      <c r="B610" s="3" t="s">
        <v>27</v>
      </c>
      <c r="C610" s="4" t="s">
        <v>341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7.25" x14ac:dyDescent="0.3">
      <c r="A611" s="22" t="s">
        <v>171</v>
      </c>
      <c r="B611" s="3" t="s">
        <v>23</v>
      </c>
      <c r="C611" s="4" t="s">
        <v>344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7.25" x14ac:dyDescent="0.3">
      <c r="A612" s="22" t="s">
        <v>171</v>
      </c>
      <c r="B612" s="3" t="s">
        <v>23</v>
      </c>
      <c r="C612" s="4" t="s">
        <v>344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7.25" x14ac:dyDescent="0.3">
      <c r="A613" s="22" t="s">
        <v>171</v>
      </c>
      <c r="B613" s="3" t="s">
        <v>21</v>
      </c>
      <c r="C613" s="4" t="s">
        <v>344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7.25" x14ac:dyDescent="0.3">
      <c r="A614" s="22" t="s">
        <v>171</v>
      </c>
      <c r="B614" s="3" t="s">
        <v>21</v>
      </c>
      <c r="C614" s="4" t="s">
        <v>344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7.25" x14ac:dyDescent="0.3">
      <c r="A615" s="3" t="s">
        <v>171</v>
      </c>
      <c r="B615" s="3" t="s">
        <v>43</v>
      </c>
      <c r="C615" s="4" t="s">
        <v>344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7.25" x14ac:dyDescent="0.3">
      <c r="A616" s="3" t="s">
        <v>172</v>
      </c>
      <c r="B616" s="3" t="s">
        <v>14</v>
      </c>
      <c r="C616" s="4" t="s">
        <v>343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7.25" x14ac:dyDescent="0.3">
      <c r="A617" s="22" t="s">
        <v>172</v>
      </c>
      <c r="B617" s="3" t="s">
        <v>150</v>
      </c>
      <c r="C617" s="4" t="s">
        <v>344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7.25" x14ac:dyDescent="0.3">
      <c r="A618" s="22" t="s">
        <v>172</v>
      </c>
      <c r="B618" s="3" t="s">
        <v>23</v>
      </c>
      <c r="C618" s="4" t="s">
        <v>344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7.25" x14ac:dyDescent="0.3">
      <c r="A619" s="3" t="s">
        <v>172</v>
      </c>
      <c r="B619" s="3" t="s">
        <v>29</v>
      </c>
      <c r="C619" s="4" t="s">
        <v>341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7.25" x14ac:dyDescent="0.3">
      <c r="A620" s="3" t="s">
        <v>172</v>
      </c>
      <c r="B620" s="3" t="s">
        <v>41</v>
      </c>
      <c r="C620" s="4" t="s">
        <v>341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7.25" x14ac:dyDescent="0.3">
      <c r="A621" s="3" t="s">
        <v>172</v>
      </c>
      <c r="B621" s="3" t="s">
        <v>41</v>
      </c>
      <c r="C621" s="4" t="s">
        <v>337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7.25" x14ac:dyDescent="0.3">
      <c r="A622" s="3" t="s">
        <v>172</v>
      </c>
      <c r="B622" s="3" t="s">
        <v>69</v>
      </c>
      <c r="C622" s="4" t="s">
        <v>338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7.25" x14ac:dyDescent="0.3">
      <c r="A623" s="3" t="s">
        <v>172</v>
      </c>
      <c r="B623" s="3" t="s">
        <v>69</v>
      </c>
      <c r="C623" s="4" t="s">
        <v>344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7.25" x14ac:dyDescent="0.3">
      <c r="A624" s="3" t="s">
        <v>172</v>
      </c>
      <c r="B624" s="3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7.25" x14ac:dyDescent="0.3">
      <c r="A625" s="22" t="s">
        <v>174</v>
      </c>
      <c r="B625" s="3" t="s">
        <v>60</v>
      </c>
      <c r="C625" s="4" t="s">
        <v>337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7.25" x14ac:dyDescent="0.3">
      <c r="A626" s="22" t="s">
        <v>174</v>
      </c>
      <c r="B626" s="3" t="s">
        <v>60</v>
      </c>
      <c r="C626" s="4" t="s">
        <v>337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7.25" x14ac:dyDescent="0.3">
      <c r="A627" s="22" t="s">
        <v>174</v>
      </c>
      <c r="B627" s="3" t="s">
        <v>27</v>
      </c>
      <c r="C627" s="4" t="s">
        <v>341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7.25" x14ac:dyDescent="0.3">
      <c r="A628" s="22" t="s">
        <v>174</v>
      </c>
      <c r="B628" s="3" t="s">
        <v>5</v>
      </c>
      <c r="C628" s="4" t="s">
        <v>338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7.25" x14ac:dyDescent="0.3">
      <c r="A629" s="22" t="s">
        <v>174</v>
      </c>
      <c r="B629" s="3" t="s">
        <v>21</v>
      </c>
      <c r="C629" s="4" t="s">
        <v>344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7.25" x14ac:dyDescent="0.3">
      <c r="A630" s="22" t="s">
        <v>174</v>
      </c>
      <c r="B630" s="3" t="s">
        <v>8</v>
      </c>
      <c r="C630" s="4" t="s">
        <v>342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7.25" x14ac:dyDescent="0.3">
      <c r="A631" s="3" t="s">
        <v>175</v>
      </c>
      <c r="B631" s="3" t="s">
        <v>93</v>
      </c>
      <c r="C631" s="4" t="s">
        <v>342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7.25" x14ac:dyDescent="0.3">
      <c r="A632" s="3" t="s">
        <v>174</v>
      </c>
      <c r="B632" s="3" t="s">
        <v>60</v>
      </c>
      <c r="C632" s="4" t="s">
        <v>337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7.25" x14ac:dyDescent="0.3">
      <c r="A633" s="3" t="s">
        <v>174</v>
      </c>
      <c r="B633" s="3" t="s">
        <v>24</v>
      </c>
      <c r="C633" s="4" t="s">
        <v>338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7.25" x14ac:dyDescent="0.3">
      <c r="A634" s="22" t="s">
        <v>175</v>
      </c>
      <c r="B634" s="3" t="s">
        <v>11</v>
      </c>
      <c r="C634" s="4" t="s">
        <v>344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7.25" x14ac:dyDescent="0.3">
      <c r="A635" s="22" t="s">
        <v>175</v>
      </c>
      <c r="B635" s="3" t="s">
        <v>16</v>
      </c>
      <c r="C635" s="4" t="s">
        <v>338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7.25" x14ac:dyDescent="0.3">
      <c r="A636" s="22" t="s">
        <v>175</v>
      </c>
      <c r="B636" s="3" t="s">
        <v>14</v>
      </c>
      <c r="C636" s="4" t="s">
        <v>344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7.25" x14ac:dyDescent="0.3">
      <c r="A637" s="22" t="s">
        <v>175</v>
      </c>
      <c r="B637" s="3" t="s">
        <v>102</v>
      </c>
      <c r="C637" s="4" t="s">
        <v>337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7.25" x14ac:dyDescent="0.3">
      <c r="A638" s="22" t="s">
        <v>175</v>
      </c>
      <c r="B638" s="3" t="s">
        <v>102</v>
      </c>
      <c r="C638" s="4" t="s">
        <v>342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7.25" x14ac:dyDescent="0.3">
      <c r="A639" s="22" t="s">
        <v>175</v>
      </c>
      <c r="B639" s="3" t="s">
        <v>46</v>
      </c>
      <c r="C639" s="4" t="s">
        <v>344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7.25" x14ac:dyDescent="0.3">
      <c r="A640" s="3" t="s">
        <v>175</v>
      </c>
      <c r="B640" s="3" t="s">
        <v>150</v>
      </c>
      <c r="C640" s="4" t="s">
        <v>342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7.25" x14ac:dyDescent="0.3">
      <c r="A641" s="3" t="s">
        <v>175</v>
      </c>
      <c r="B641" s="3" t="s">
        <v>29</v>
      </c>
      <c r="C641" s="4" t="s">
        <v>341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7.25" x14ac:dyDescent="0.3">
      <c r="A642" s="22" t="s">
        <v>175</v>
      </c>
      <c r="B642" s="3" t="s">
        <v>95</v>
      </c>
      <c r="C642" s="4" t="s">
        <v>342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7.25" x14ac:dyDescent="0.3">
      <c r="A643" s="3" t="s">
        <v>175</v>
      </c>
      <c r="B643" s="3" t="s">
        <v>41</v>
      </c>
      <c r="C643" s="4" t="s">
        <v>341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7.25" x14ac:dyDescent="0.3">
      <c r="A644" s="3" t="s">
        <v>175</v>
      </c>
      <c r="B644" s="3" t="s">
        <v>25</v>
      </c>
      <c r="C644" s="4" t="s">
        <v>337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7.25" x14ac:dyDescent="0.3">
      <c r="A645" s="3" t="s">
        <v>175</v>
      </c>
      <c r="B645" s="3" t="s">
        <v>18</v>
      </c>
      <c r="C645" s="4" t="s">
        <v>338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7.25" x14ac:dyDescent="0.3">
      <c r="A646" s="3" t="s">
        <v>175</v>
      </c>
      <c r="B646" s="3" t="s">
        <v>33</v>
      </c>
      <c r="C646" s="4" t="s">
        <v>337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7.25" x14ac:dyDescent="0.3">
      <c r="A647" s="3" t="s">
        <v>175</v>
      </c>
      <c r="B647" s="3" t="s">
        <v>33</v>
      </c>
      <c r="C647" s="4" t="s">
        <v>344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7.25" x14ac:dyDescent="0.3">
      <c r="A648" s="3" t="s">
        <v>175</v>
      </c>
      <c r="B648" s="3" t="s">
        <v>66</v>
      </c>
      <c r="C648" s="4" t="s">
        <v>339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7.25" x14ac:dyDescent="0.3">
      <c r="A649" s="3" t="s">
        <v>175</v>
      </c>
      <c r="B649" s="3" t="s">
        <v>66</v>
      </c>
      <c r="C649" s="4" t="s">
        <v>340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7.25" x14ac:dyDescent="0.3">
      <c r="A650" s="3" t="s">
        <v>175</v>
      </c>
      <c r="B650" s="3" t="s">
        <v>43</v>
      </c>
      <c r="C650" s="4" t="s">
        <v>341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7.25" x14ac:dyDescent="0.3">
      <c r="A651" s="3" t="s">
        <v>175</v>
      </c>
      <c r="B651" s="3" t="s">
        <v>43</v>
      </c>
      <c r="C651" s="4" t="s">
        <v>341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7.25" x14ac:dyDescent="0.3">
      <c r="A652" s="3" t="s">
        <v>175</v>
      </c>
      <c r="B652" s="3" t="s">
        <v>21</v>
      </c>
      <c r="C652" s="4" t="s">
        <v>344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7.25" x14ac:dyDescent="0.3">
      <c r="A653" s="3" t="s">
        <v>175</v>
      </c>
      <c r="B653" s="3" t="s">
        <v>30</v>
      </c>
      <c r="C653" s="4" t="s">
        <v>339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7.25" x14ac:dyDescent="0.3">
      <c r="A654" s="3" t="s">
        <v>175</v>
      </c>
      <c r="B654" s="3" t="s">
        <v>30</v>
      </c>
      <c r="C654" s="4" t="s">
        <v>339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7.25" x14ac:dyDescent="0.3">
      <c r="A655" s="22" t="s">
        <v>176</v>
      </c>
      <c r="B655" s="3" t="s">
        <v>11</v>
      </c>
      <c r="C655" s="4" t="s">
        <v>339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7.25" x14ac:dyDescent="0.3">
      <c r="A656" s="22" t="s">
        <v>176</v>
      </c>
      <c r="B656" s="3" t="s">
        <v>11</v>
      </c>
      <c r="C656" s="4" t="s">
        <v>337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7.25" x14ac:dyDescent="0.3">
      <c r="A657" s="22" t="s">
        <v>176</v>
      </c>
      <c r="B657" s="3" t="s">
        <v>8</v>
      </c>
      <c r="C657" s="4" t="s">
        <v>342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7.25" x14ac:dyDescent="0.3">
      <c r="A658" s="22" t="s">
        <v>176</v>
      </c>
      <c r="B658" s="3" t="s">
        <v>27</v>
      </c>
      <c r="C658" s="4" t="s">
        <v>341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7.25" x14ac:dyDescent="0.3">
      <c r="A659" s="3" t="s">
        <v>176</v>
      </c>
      <c r="B659" s="3" t="s">
        <v>29</v>
      </c>
      <c r="C659" s="4" t="s">
        <v>341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7.25" x14ac:dyDescent="0.3">
      <c r="A660" s="3" t="s">
        <v>176</v>
      </c>
      <c r="B660" s="3" t="s">
        <v>25</v>
      </c>
      <c r="C660" s="4" t="s">
        <v>344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7.25" x14ac:dyDescent="0.3">
      <c r="A661" s="3" t="s">
        <v>176</v>
      </c>
      <c r="B661" s="3" t="s">
        <v>33</v>
      </c>
      <c r="C661" s="4" t="s">
        <v>344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7.25" x14ac:dyDescent="0.3">
      <c r="A662" s="3" t="s">
        <v>176</v>
      </c>
      <c r="B662" s="3" t="s">
        <v>25</v>
      </c>
      <c r="C662" s="4" t="s">
        <v>337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7.25" x14ac:dyDescent="0.3">
      <c r="A663" s="3" t="s">
        <v>176</v>
      </c>
      <c r="B663" s="3" t="s">
        <v>150</v>
      </c>
      <c r="C663" s="4" t="s">
        <v>344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7.25" x14ac:dyDescent="0.3">
      <c r="A664" s="3" t="s">
        <v>176</v>
      </c>
      <c r="B664" s="3" t="s">
        <v>41</v>
      </c>
      <c r="C664" s="4" t="s">
        <v>341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7.25" x14ac:dyDescent="0.3">
      <c r="A665" s="22" t="s">
        <v>242</v>
      </c>
      <c r="B665" s="3" t="s">
        <v>27</v>
      </c>
      <c r="C665" s="4" t="s">
        <v>339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7.25" x14ac:dyDescent="0.3">
      <c r="A666" s="22" t="s">
        <v>242</v>
      </c>
      <c r="B666" s="3" t="s">
        <v>33</v>
      </c>
      <c r="C666" s="4" t="s">
        <v>341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7.25" x14ac:dyDescent="0.3">
      <c r="A667" s="22" t="s">
        <v>242</v>
      </c>
      <c r="B667" s="3" t="s">
        <v>21</v>
      </c>
      <c r="C667" s="4" t="s">
        <v>339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7.25" x14ac:dyDescent="0.3">
      <c r="A668" s="22" t="s">
        <v>242</v>
      </c>
      <c r="B668" s="3" t="s">
        <v>60</v>
      </c>
      <c r="C668" s="4" t="s">
        <v>342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7.25" x14ac:dyDescent="0.3">
      <c r="A669" s="22" t="s">
        <v>242</v>
      </c>
      <c r="B669" s="3" t="s">
        <v>24</v>
      </c>
      <c r="C669" s="4" t="s">
        <v>338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7.25" x14ac:dyDescent="0.3">
      <c r="A670" s="22" t="s">
        <v>242</v>
      </c>
      <c r="B670" s="3" t="s">
        <v>24</v>
      </c>
      <c r="C670" s="4" t="s">
        <v>342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7.25" x14ac:dyDescent="0.3">
      <c r="A671" s="22" t="s">
        <v>242</v>
      </c>
      <c r="B671" s="3" t="s">
        <v>99</v>
      </c>
      <c r="C671" s="4" t="s">
        <v>338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7.25" x14ac:dyDescent="0.3">
      <c r="A672" s="22" t="s">
        <v>242</v>
      </c>
      <c r="B672" s="3" t="s">
        <v>43</v>
      </c>
      <c r="C672" s="4" t="s">
        <v>341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7.25" x14ac:dyDescent="0.3">
      <c r="A673" s="22" t="s">
        <v>242</v>
      </c>
      <c r="B673" s="3" t="s">
        <v>43</v>
      </c>
      <c r="C673" s="4" t="s">
        <v>341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7.25" x14ac:dyDescent="0.3">
      <c r="A674" s="22" t="s">
        <v>242</v>
      </c>
      <c r="B674" s="3" t="s">
        <v>145</v>
      </c>
      <c r="C674" s="4" t="s">
        <v>339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7.25" x14ac:dyDescent="0.3">
      <c r="A675" s="22" t="s">
        <v>242</v>
      </c>
      <c r="B675" s="3" t="s">
        <v>145</v>
      </c>
      <c r="C675" s="4" t="s">
        <v>339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7.25" x14ac:dyDescent="0.3">
      <c r="A676" s="22" t="s">
        <v>242</v>
      </c>
      <c r="B676" s="3" t="s">
        <v>93</v>
      </c>
      <c r="C676" s="4" t="s">
        <v>341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7.25" x14ac:dyDescent="0.3">
      <c r="A677" s="22" t="s">
        <v>242</v>
      </c>
      <c r="B677" s="3" t="s">
        <v>93</v>
      </c>
      <c r="C677" s="4" t="s">
        <v>341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7.25" x14ac:dyDescent="0.3">
      <c r="A678" s="22" t="s">
        <v>242</v>
      </c>
      <c r="B678" s="3" t="s">
        <v>23</v>
      </c>
      <c r="C678" s="4" t="s">
        <v>343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7.25" x14ac:dyDescent="0.3">
      <c r="A679" s="22" t="s">
        <v>242</v>
      </c>
      <c r="B679" s="3" t="s">
        <v>23</v>
      </c>
      <c r="C679" s="4" t="s">
        <v>343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7.25" x14ac:dyDescent="0.3">
      <c r="A680" s="22" t="s">
        <v>242</v>
      </c>
      <c r="B680" s="3" t="s">
        <v>43</v>
      </c>
      <c r="C680" s="4" t="s">
        <v>340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7.25" x14ac:dyDescent="0.3">
      <c r="A681" s="3" t="s">
        <v>242</v>
      </c>
      <c r="B681" s="3" t="s">
        <v>11</v>
      </c>
      <c r="C681" s="4" t="s">
        <v>337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7.25" x14ac:dyDescent="0.3">
      <c r="A682" s="3" t="s">
        <v>242</v>
      </c>
      <c r="B682" s="3" t="s">
        <v>21</v>
      </c>
      <c r="C682" s="4" t="s">
        <v>344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7.25" x14ac:dyDescent="0.3">
      <c r="A683" s="3" t="s">
        <v>242</v>
      </c>
      <c r="B683" s="3" t="s">
        <v>21</v>
      </c>
      <c r="C683" s="4" t="s">
        <v>344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7.25" x14ac:dyDescent="0.3">
      <c r="A684" s="22" t="s">
        <v>242</v>
      </c>
      <c r="B684" s="3" t="s">
        <v>95</v>
      </c>
      <c r="C684" s="4" t="s">
        <v>338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7.25" x14ac:dyDescent="0.3">
      <c r="A685" s="22" t="s">
        <v>242</v>
      </c>
      <c r="B685" s="3" t="s">
        <v>95</v>
      </c>
      <c r="C685" s="4" t="s">
        <v>341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7.25" x14ac:dyDescent="0.3">
      <c r="A686" s="22" t="s">
        <v>242</v>
      </c>
      <c r="B686" s="3" t="s">
        <v>95</v>
      </c>
      <c r="C686" s="4" t="s">
        <v>341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7.25" x14ac:dyDescent="0.3">
      <c r="A687" s="3" t="s">
        <v>242</v>
      </c>
      <c r="B687" s="3" t="s">
        <v>25</v>
      </c>
      <c r="C687" s="4" t="s">
        <v>337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7.25" x14ac:dyDescent="0.3">
      <c r="A688" s="22" t="s">
        <v>242</v>
      </c>
      <c r="B688" s="3" t="s">
        <v>23</v>
      </c>
      <c r="C688" s="4" t="s">
        <v>343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7.25" x14ac:dyDescent="0.3">
      <c r="A689" s="22" t="s">
        <v>242</v>
      </c>
      <c r="B689" s="3" t="s">
        <v>102</v>
      </c>
      <c r="C689" s="4" t="s">
        <v>338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7.25" x14ac:dyDescent="0.3">
      <c r="A690" s="3" t="s">
        <v>242</v>
      </c>
      <c r="B690" s="3" t="s">
        <v>33</v>
      </c>
      <c r="C690" s="4" t="s">
        <v>341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7.25" x14ac:dyDescent="0.3">
      <c r="A691" s="3" t="s">
        <v>242</v>
      </c>
      <c r="B691" s="3" t="s">
        <v>33</v>
      </c>
      <c r="C691" s="4" t="s">
        <v>341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7.25" x14ac:dyDescent="0.3">
      <c r="A692" s="22" t="s">
        <v>243</v>
      </c>
      <c r="B692" s="3" t="s">
        <v>60</v>
      </c>
      <c r="C692" s="4" t="s">
        <v>344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7.25" x14ac:dyDescent="0.3">
      <c r="A693" s="3" t="s">
        <v>243</v>
      </c>
      <c r="B693" s="3" t="s">
        <v>24</v>
      </c>
      <c r="C693" s="4" t="s">
        <v>344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7.25" x14ac:dyDescent="0.3">
      <c r="A694" s="22" t="s">
        <v>243</v>
      </c>
      <c r="B694" s="3" t="s">
        <v>8</v>
      </c>
      <c r="C694" s="4" t="s">
        <v>342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7.25" x14ac:dyDescent="0.3">
      <c r="A695" s="3" t="s">
        <v>243</v>
      </c>
      <c r="B695" s="3" t="s">
        <v>43</v>
      </c>
      <c r="C695" s="4" t="s">
        <v>341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7.25" x14ac:dyDescent="0.3">
      <c r="A696" s="3" t="s">
        <v>243</v>
      </c>
      <c r="B696" s="3" t="s">
        <v>43</v>
      </c>
      <c r="C696" s="4" t="s">
        <v>341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7.25" x14ac:dyDescent="0.3">
      <c r="A697" s="22" t="s">
        <v>243</v>
      </c>
      <c r="B697" s="3" t="s">
        <v>43</v>
      </c>
      <c r="C697" s="4" t="s">
        <v>337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7.25" x14ac:dyDescent="0.3">
      <c r="A698" s="22" t="s">
        <v>243</v>
      </c>
      <c r="B698" s="3" t="s">
        <v>93</v>
      </c>
      <c r="C698" s="4" t="s">
        <v>344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7.25" x14ac:dyDescent="0.3">
      <c r="A699" s="22" t="s">
        <v>243</v>
      </c>
      <c r="B699" s="3" t="s">
        <v>93</v>
      </c>
      <c r="C699" s="4" t="s">
        <v>341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7.25" x14ac:dyDescent="0.3">
      <c r="A700" s="22" t="s">
        <v>243</v>
      </c>
      <c r="B700" s="3" t="s">
        <v>93</v>
      </c>
      <c r="C700" s="4" t="s">
        <v>341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7.25" x14ac:dyDescent="0.3">
      <c r="A701" s="22" t="s">
        <v>243</v>
      </c>
      <c r="B701" s="3" t="s">
        <v>23</v>
      </c>
      <c r="C701" s="4" t="s">
        <v>344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7.25" x14ac:dyDescent="0.3">
      <c r="A702" s="22" t="s">
        <v>243</v>
      </c>
      <c r="B702" s="3" t="s">
        <v>23</v>
      </c>
      <c r="C702" s="4" t="s">
        <v>344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7.25" x14ac:dyDescent="0.3">
      <c r="A703" s="3" t="s">
        <v>243</v>
      </c>
      <c r="B703" s="3" t="s">
        <v>23</v>
      </c>
      <c r="C703" s="4" t="s">
        <v>342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7.25" x14ac:dyDescent="0.3">
      <c r="A704" s="3" t="s">
        <v>243</v>
      </c>
      <c r="B704" s="3" t="s">
        <v>23</v>
      </c>
      <c r="C704" s="4" t="s">
        <v>342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7.25" x14ac:dyDescent="0.3">
      <c r="A705" s="3" t="s">
        <v>243</v>
      </c>
      <c r="B705" s="3" t="s">
        <v>8</v>
      </c>
      <c r="C705" s="4" t="s">
        <v>339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7.25" x14ac:dyDescent="0.3">
      <c r="A706" s="3" t="s">
        <v>244</v>
      </c>
      <c r="B706" s="3" t="s">
        <v>63</v>
      </c>
      <c r="C706" s="4" t="s">
        <v>344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7.25" x14ac:dyDescent="0.3">
      <c r="A707" s="22" t="s">
        <v>244</v>
      </c>
      <c r="B707" s="3" t="s">
        <v>75</v>
      </c>
      <c r="C707" s="4" t="s">
        <v>344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7.25" x14ac:dyDescent="0.3">
      <c r="A708" s="3" t="s">
        <v>244</v>
      </c>
      <c r="B708" s="3" t="s">
        <v>48</v>
      </c>
      <c r="C708" s="4" t="s">
        <v>344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7.25" x14ac:dyDescent="0.3">
      <c r="A709" s="3" t="s">
        <v>244</v>
      </c>
      <c r="B709" s="3" t="s">
        <v>14</v>
      </c>
      <c r="C709" s="4" t="s">
        <v>344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7.25" x14ac:dyDescent="0.3">
      <c r="A710" s="22" t="s">
        <v>244</v>
      </c>
      <c r="B710" s="3" t="s">
        <v>14</v>
      </c>
      <c r="C710" s="4" t="s">
        <v>344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7.25" x14ac:dyDescent="0.3">
      <c r="A711" s="22" t="s">
        <v>244</v>
      </c>
      <c r="B711" s="3" t="s">
        <v>24</v>
      </c>
      <c r="C711" s="4" t="s">
        <v>342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7.25" x14ac:dyDescent="0.3">
      <c r="A712" s="22" t="s">
        <v>244</v>
      </c>
      <c r="B712" s="3" t="s">
        <v>95</v>
      </c>
      <c r="C712" s="4" t="s">
        <v>344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7.25" x14ac:dyDescent="0.3">
      <c r="A713" s="3" t="s">
        <v>244</v>
      </c>
      <c r="B713" s="3" t="s">
        <v>95</v>
      </c>
      <c r="C713" s="4" t="s">
        <v>341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7.25" x14ac:dyDescent="0.3">
      <c r="A714" s="3" t="s">
        <v>244</v>
      </c>
      <c r="B714" s="3" t="s">
        <v>95</v>
      </c>
      <c r="C714" s="4" t="s">
        <v>341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7.25" x14ac:dyDescent="0.3">
      <c r="A715" s="3" t="s">
        <v>244</v>
      </c>
      <c r="B715" s="3" t="s">
        <v>5</v>
      </c>
      <c r="C715" s="4" t="s">
        <v>337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7.25" x14ac:dyDescent="0.3">
      <c r="A716" s="3" t="s">
        <v>244</v>
      </c>
      <c r="B716" s="3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7.25" x14ac:dyDescent="0.3">
      <c r="A717" s="22" t="s">
        <v>244</v>
      </c>
      <c r="B717" s="3" t="s">
        <v>150</v>
      </c>
      <c r="C717" s="4" t="s">
        <v>344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7.25" x14ac:dyDescent="0.3">
      <c r="A718" s="3" t="s">
        <v>244</v>
      </c>
      <c r="B718" s="3" t="s">
        <v>150</v>
      </c>
      <c r="C718" s="4" t="s">
        <v>344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7.25" x14ac:dyDescent="0.3">
      <c r="A719" s="3" t="s">
        <v>244</v>
      </c>
      <c r="B719" s="3" t="s">
        <v>43</v>
      </c>
      <c r="C719" s="4" t="s">
        <v>341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7.25" x14ac:dyDescent="0.3">
      <c r="A720" s="3" t="s">
        <v>244</v>
      </c>
      <c r="B720" s="3" t="s">
        <v>43</v>
      </c>
      <c r="C720" s="4" t="s">
        <v>341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7.25" x14ac:dyDescent="0.3">
      <c r="A721" s="22" t="s">
        <v>244</v>
      </c>
      <c r="B721" s="3" t="s">
        <v>23</v>
      </c>
      <c r="C721" s="4" t="s">
        <v>344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7.25" x14ac:dyDescent="0.3">
      <c r="A722" s="3" t="s">
        <v>244</v>
      </c>
      <c r="B722" s="3" t="s">
        <v>23</v>
      </c>
      <c r="C722" s="4" t="s">
        <v>342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7.25" x14ac:dyDescent="0.3">
      <c r="A723" s="3" t="s">
        <v>244</v>
      </c>
      <c r="B723" s="3" t="s">
        <v>103</v>
      </c>
      <c r="C723" s="4" t="s">
        <v>337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7.25" x14ac:dyDescent="0.3">
      <c r="A724" s="3" t="s">
        <v>244</v>
      </c>
      <c r="B724" s="3" t="s">
        <v>33</v>
      </c>
      <c r="C724" s="4" t="s">
        <v>341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7.25" x14ac:dyDescent="0.3">
      <c r="A725" s="3" t="s">
        <v>245</v>
      </c>
      <c r="B725" s="3" t="s">
        <v>48</v>
      </c>
      <c r="C725" s="4" t="s">
        <v>344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7.25" x14ac:dyDescent="0.3">
      <c r="A726" s="22" t="s">
        <v>245</v>
      </c>
      <c r="B726" s="3" t="s">
        <v>8</v>
      </c>
      <c r="C726" s="4" t="s">
        <v>338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7.25" x14ac:dyDescent="0.3">
      <c r="A727" s="3" t="s">
        <v>245</v>
      </c>
      <c r="B727" s="3" t="s">
        <v>95</v>
      </c>
      <c r="C727" s="4" t="s">
        <v>341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7.25" x14ac:dyDescent="0.3">
      <c r="A728" s="3" t="s">
        <v>245</v>
      </c>
      <c r="B728" s="3" t="s">
        <v>95</v>
      </c>
      <c r="C728" s="4" t="s">
        <v>341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7.25" x14ac:dyDescent="0.3">
      <c r="A729" s="3" t="s">
        <v>245</v>
      </c>
      <c r="B729" s="3" t="s">
        <v>51</v>
      </c>
      <c r="C729" s="4" t="s">
        <v>343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7.25" x14ac:dyDescent="0.3">
      <c r="A730" s="3" t="s">
        <v>245</v>
      </c>
      <c r="B730" s="3" t="s">
        <v>25</v>
      </c>
      <c r="C730" s="4" t="s">
        <v>337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7.25" x14ac:dyDescent="0.3">
      <c r="A731" s="3" t="s">
        <v>245</v>
      </c>
      <c r="B731" s="3" t="s">
        <v>25</v>
      </c>
      <c r="C731" s="4" t="s">
        <v>337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7.25" x14ac:dyDescent="0.3">
      <c r="A732" s="3" t="s">
        <v>245</v>
      </c>
      <c r="B732" s="3" t="s">
        <v>66</v>
      </c>
      <c r="C732" s="4" t="s">
        <v>338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7.25" x14ac:dyDescent="0.3">
      <c r="A733" s="3" t="s">
        <v>245</v>
      </c>
      <c r="B733" s="3" t="s">
        <v>150</v>
      </c>
      <c r="C733" s="4" t="s">
        <v>344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7.25" x14ac:dyDescent="0.3">
      <c r="A734" s="22" t="s">
        <v>245</v>
      </c>
      <c r="B734" s="3" t="s">
        <v>93</v>
      </c>
      <c r="C734" s="4" t="s">
        <v>341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7.25" x14ac:dyDescent="0.3">
      <c r="A735" s="22" t="s">
        <v>245</v>
      </c>
      <c r="B735" s="3" t="s">
        <v>93</v>
      </c>
      <c r="C735" s="4" t="s">
        <v>341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7.25" x14ac:dyDescent="0.3">
      <c r="A736" s="3" t="s">
        <v>245</v>
      </c>
      <c r="B736" s="3" t="s">
        <v>33</v>
      </c>
      <c r="C736" s="4" t="s">
        <v>344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7.25" x14ac:dyDescent="0.3">
      <c r="A737" s="3" t="s">
        <v>245</v>
      </c>
      <c r="B737" s="3" t="s">
        <v>33</v>
      </c>
      <c r="C737" s="4" t="s">
        <v>342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7.25" x14ac:dyDescent="0.3">
      <c r="A738" s="3" t="s">
        <v>245</v>
      </c>
      <c r="B738" s="3" t="s">
        <v>33</v>
      </c>
      <c r="C738" s="4" t="s">
        <v>341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7.25" x14ac:dyDescent="0.3">
      <c r="A739" s="3" t="s">
        <v>245</v>
      </c>
      <c r="B739" s="3" t="s">
        <v>18</v>
      </c>
      <c r="C739" s="4" t="s">
        <v>337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7.25" x14ac:dyDescent="0.3">
      <c r="A740" s="3" t="s">
        <v>245</v>
      </c>
      <c r="B740" s="3" t="s">
        <v>31</v>
      </c>
      <c r="C740" s="4" t="s">
        <v>339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7.25" x14ac:dyDescent="0.3">
      <c r="A741" s="3" t="s">
        <v>246</v>
      </c>
      <c r="B741" s="3" t="s">
        <v>75</v>
      </c>
      <c r="C741" s="4" t="s">
        <v>342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7.25" x14ac:dyDescent="0.3">
      <c r="A742" s="3" t="s">
        <v>246</v>
      </c>
      <c r="B742" s="3" t="s">
        <v>43</v>
      </c>
      <c r="C742" s="4" t="s">
        <v>341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7.25" x14ac:dyDescent="0.3">
      <c r="A743" s="3" t="s">
        <v>246</v>
      </c>
      <c r="B743" s="3" t="s">
        <v>43</v>
      </c>
      <c r="C743" s="4" t="s">
        <v>341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7.25" x14ac:dyDescent="0.3">
      <c r="A744" s="3" t="s">
        <v>246</v>
      </c>
      <c r="B744" s="3" t="s">
        <v>93</v>
      </c>
      <c r="C744" s="4" t="s">
        <v>341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7.25" x14ac:dyDescent="0.3">
      <c r="A745" s="3" t="s">
        <v>246</v>
      </c>
      <c r="B745" s="3" t="s">
        <v>93</v>
      </c>
      <c r="C745" s="4" t="s">
        <v>341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7.25" x14ac:dyDescent="0.3">
      <c r="A746" s="3" t="s">
        <v>246</v>
      </c>
      <c r="B746" s="3" t="s">
        <v>21</v>
      </c>
      <c r="C746" s="4" t="s">
        <v>339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7.25" x14ac:dyDescent="0.3">
      <c r="A747" s="3" t="s">
        <v>246</v>
      </c>
      <c r="B747" s="3" t="s">
        <v>33</v>
      </c>
      <c r="C747" s="4" t="s">
        <v>340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7.25" x14ac:dyDescent="0.3">
      <c r="A748" s="22" t="s">
        <v>247</v>
      </c>
      <c r="B748" s="3" t="s">
        <v>11</v>
      </c>
      <c r="C748" s="4" t="s">
        <v>339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7.25" x14ac:dyDescent="0.3">
      <c r="A749" s="3" t="s">
        <v>247</v>
      </c>
      <c r="B749" s="3" t="s">
        <v>19</v>
      </c>
      <c r="C749" s="4" t="s">
        <v>344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7.25" x14ac:dyDescent="0.3">
      <c r="A750" s="22" t="s">
        <v>247</v>
      </c>
      <c r="B750" s="3" t="s">
        <v>95</v>
      </c>
      <c r="C750" s="4" t="s">
        <v>341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7.25" x14ac:dyDescent="0.3">
      <c r="A751" s="22" t="s">
        <v>247</v>
      </c>
      <c r="B751" s="3" t="s">
        <v>95</v>
      </c>
      <c r="C751" s="4" t="s">
        <v>341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7.25" x14ac:dyDescent="0.3">
      <c r="A752" s="3" t="s">
        <v>247</v>
      </c>
      <c r="B752" s="3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7.25" x14ac:dyDescent="0.3">
      <c r="A753" s="3" t="s">
        <v>247</v>
      </c>
      <c r="B753" s="3" t="s">
        <v>25</v>
      </c>
      <c r="C753" s="4" t="s">
        <v>344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7.25" x14ac:dyDescent="0.3">
      <c r="A754" s="22" t="s">
        <v>247</v>
      </c>
      <c r="B754" s="3" t="s">
        <v>31</v>
      </c>
      <c r="C754" s="4" t="s">
        <v>343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7.25" x14ac:dyDescent="0.3">
      <c r="A755" s="3" t="s">
        <v>247</v>
      </c>
      <c r="B755" s="3" t="s">
        <v>33</v>
      </c>
      <c r="C755" s="4" t="s">
        <v>344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7.25" x14ac:dyDescent="0.3">
      <c r="A756" s="3" t="s">
        <v>247</v>
      </c>
      <c r="B756" s="3" t="s">
        <v>33</v>
      </c>
      <c r="C756" s="4" t="s">
        <v>341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7.25" x14ac:dyDescent="0.3">
      <c r="A757" s="3" t="s">
        <v>247</v>
      </c>
      <c r="B757" s="3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7.25" x14ac:dyDescent="0.3">
      <c r="A758" s="3" t="s">
        <v>247</v>
      </c>
      <c r="B758" s="3" t="s">
        <v>23</v>
      </c>
      <c r="C758" s="4" t="s">
        <v>340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7.25" x14ac:dyDescent="0.3">
      <c r="A759" s="22" t="s">
        <v>248</v>
      </c>
      <c r="B759" s="3" t="s">
        <v>75</v>
      </c>
      <c r="C759" s="4" t="s">
        <v>344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7.25" x14ac:dyDescent="0.3">
      <c r="A760" s="22" t="s">
        <v>248</v>
      </c>
      <c r="B760" s="3" t="s">
        <v>60</v>
      </c>
      <c r="C760" s="4" t="s">
        <v>337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7.25" x14ac:dyDescent="0.3">
      <c r="A761" s="22" t="s">
        <v>248</v>
      </c>
      <c r="B761" s="3" t="s">
        <v>24</v>
      </c>
      <c r="C761" s="4" t="s">
        <v>338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7.25" x14ac:dyDescent="0.3">
      <c r="A762" s="22" t="s">
        <v>248</v>
      </c>
      <c r="B762" s="3" t="s">
        <v>24</v>
      </c>
      <c r="C762" s="4" t="s">
        <v>342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7.25" x14ac:dyDescent="0.3">
      <c r="A763" s="22" t="s">
        <v>248</v>
      </c>
      <c r="B763" s="3" t="s">
        <v>8</v>
      </c>
      <c r="C763" s="4" t="s">
        <v>342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7.25" x14ac:dyDescent="0.3">
      <c r="A764" s="22" t="s">
        <v>248</v>
      </c>
      <c r="B764" s="3" t="s">
        <v>43</v>
      </c>
      <c r="C764" s="4" t="s">
        <v>342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7.25" x14ac:dyDescent="0.3">
      <c r="A765" s="22" t="s">
        <v>248</v>
      </c>
      <c r="B765" s="3" t="s">
        <v>93</v>
      </c>
      <c r="C765" s="4" t="s">
        <v>341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7.25" x14ac:dyDescent="0.3">
      <c r="A766" s="22" t="s">
        <v>248</v>
      </c>
      <c r="B766" s="3" t="s">
        <v>93</v>
      </c>
      <c r="C766" s="4" t="s">
        <v>341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7.25" x14ac:dyDescent="0.3">
      <c r="A767" s="3" t="s">
        <v>249</v>
      </c>
      <c r="B767" s="3" t="s">
        <v>11</v>
      </c>
      <c r="C767" s="4" t="s">
        <v>343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7.25" x14ac:dyDescent="0.3">
      <c r="A768" s="22" t="s">
        <v>249</v>
      </c>
      <c r="B768" s="3" t="s">
        <v>48</v>
      </c>
      <c r="C768" s="4" t="s">
        <v>344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7.25" x14ac:dyDescent="0.3">
      <c r="A769" s="22" t="s">
        <v>249</v>
      </c>
      <c r="B769" s="3" t="s">
        <v>95</v>
      </c>
      <c r="C769" s="4" t="s">
        <v>341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7.25" x14ac:dyDescent="0.3">
      <c r="A770" s="22" t="s">
        <v>249</v>
      </c>
      <c r="B770" s="3" t="s">
        <v>95</v>
      </c>
      <c r="C770" s="4" t="s">
        <v>341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7.25" x14ac:dyDescent="0.3">
      <c r="A771" s="3" t="s">
        <v>249</v>
      </c>
      <c r="B771" s="3" t="s">
        <v>25</v>
      </c>
      <c r="C771" s="4" t="s">
        <v>344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7.25" x14ac:dyDescent="0.3">
      <c r="A772" s="3" t="s">
        <v>249</v>
      </c>
      <c r="B772" s="3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7.25" x14ac:dyDescent="0.3">
      <c r="A773" s="22" t="s">
        <v>249</v>
      </c>
      <c r="B773" s="3" t="s">
        <v>31</v>
      </c>
      <c r="C773" s="4" t="s">
        <v>344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7.25" x14ac:dyDescent="0.3">
      <c r="A774" s="22" t="s">
        <v>249</v>
      </c>
      <c r="B774" s="3" t="s">
        <v>150</v>
      </c>
      <c r="C774" s="4" t="s">
        <v>344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7.25" x14ac:dyDescent="0.3">
      <c r="A775" s="22" t="s">
        <v>249</v>
      </c>
      <c r="B775" s="3" t="s">
        <v>23</v>
      </c>
      <c r="C775" s="4" t="s">
        <v>344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7.25" x14ac:dyDescent="0.3">
      <c r="A776" s="22" t="s">
        <v>249</v>
      </c>
      <c r="B776" s="3" t="s">
        <v>23</v>
      </c>
      <c r="C776" s="4" t="s">
        <v>344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7.25" x14ac:dyDescent="0.3">
      <c r="A777" s="3" t="s">
        <v>249</v>
      </c>
      <c r="B777" s="3" t="s">
        <v>46</v>
      </c>
      <c r="C777" s="4" t="s">
        <v>344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7.25" x14ac:dyDescent="0.3">
      <c r="A778" s="3" t="s">
        <v>249</v>
      </c>
      <c r="B778" s="3" t="s">
        <v>41</v>
      </c>
      <c r="C778" s="4" t="s">
        <v>344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7.25" x14ac:dyDescent="0.3">
      <c r="A779" s="3" t="s">
        <v>249</v>
      </c>
      <c r="B779" s="3" t="s">
        <v>103</v>
      </c>
      <c r="C779" s="4" t="s">
        <v>338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7.25" x14ac:dyDescent="0.3">
      <c r="A780" s="22" t="s">
        <v>249</v>
      </c>
      <c r="B780" s="3" t="s">
        <v>69</v>
      </c>
      <c r="C780" s="4" t="s">
        <v>344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7.25" x14ac:dyDescent="0.3">
      <c r="A781" s="3" t="s">
        <v>249</v>
      </c>
      <c r="B781" s="3" t="s">
        <v>33</v>
      </c>
      <c r="C781" s="4" t="s">
        <v>344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7.25" x14ac:dyDescent="0.3">
      <c r="A782" s="3" t="s">
        <v>249</v>
      </c>
      <c r="B782" s="3" t="s">
        <v>33</v>
      </c>
      <c r="C782" s="4" t="s">
        <v>341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7.25" x14ac:dyDescent="0.3">
      <c r="A783" s="3" t="s">
        <v>250</v>
      </c>
      <c r="B783" s="3" t="s">
        <v>63</v>
      </c>
      <c r="C783" s="4" t="s">
        <v>341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7.25" x14ac:dyDescent="0.3">
      <c r="A784" s="22" t="s">
        <v>250</v>
      </c>
      <c r="B784" s="3" t="s">
        <v>48</v>
      </c>
      <c r="C784" s="4" t="s">
        <v>344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7.25" x14ac:dyDescent="0.3">
      <c r="A785" s="22" t="s">
        <v>250</v>
      </c>
      <c r="B785" s="3" t="s">
        <v>14</v>
      </c>
      <c r="C785" s="4" t="s">
        <v>343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7.25" x14ac:dyDescent="0.3">
      <c r="A786" s="22" t="s">
        <v>250</v>
      </c>
      <c r="B786" s="3" t="s">
        <v>95</v>
      </c>
      <c r="C786" s="4" t="s">
        <v>341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7.25" x14ac:dyDescent="0.3">
      <c r="A787" s="22" t="s">
        <v>250</v>
      </c>
      <c r="B787" s="3" t="s">
        <v>95</v>
      </c>
      <c r="C787" s="4" t="s">
        <v>341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7.25" x14ac:dyDescent="0.3">
      <c r="A788" s="22" t="s">
        <v>250</v>
      </c>
      <c r="B788" s="3" t="s">
        <v>25</v>
      </c>
      <c r="C788" s="4" t="s">
        <v>337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7.25" x14ac:dyDescent="0.3">
      <c r="A789" s="3" t="s">
        <v>250</v>
      </c>
      <c r="B789" s="3" t="s">
        <v>25</v>
      </c>
      <c r="C789" s="4" t="s">
        <v>344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7.25" x14ac:dyDescent="0.3">
      <c r="A790" s="22" t="s">
        <v>250</v>
      </c>
      <c r="B790" s="3" t="s">
        <v>93</v>
      </c>
      <c r="C790" s="4" t="s">
        <v>341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7.25" x14ac:dyDescent="0.3">
      <c r="A791" s="22" t="s">
        <v>250</v>
      </c>
      <c r="B791" s="3" t="s">
        <v>93</v>
      </c>
      <c r="C791" s="4" t="s">
        <v>341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7.25" x14ac:dyDescent="0.3">
      <c r="A792" s="22" t="s">
        <v>250</v>
      </c>
      <c r="B792" s="3" t="s">
        <v>93</v>
      </c>
      <c r="C792" s="4" t="s">
        <v>342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7.25" x14ac:dyDescent="0.3">
      <c r="A793" s="3" t="s">
        <v>250</v>
      </c>
      <c r="B793" s="3" t="s">
        <v>23</v>
      </c>
      <c r="C793" s="4" t="s">
        <v>344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7.25" x14ac:dyDescent="0.3">
      <c r="A794" s="22" t="s">
        <v>250</v>
      </c>
      <c r="B794" s="3" t="s">
        <v>69</v>
      </c>
      <c r="C794" s="4" t="s">
        <v>338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7.25" x14ac:dyDescent="0.3">
      <c r="A795" s="3" t="s">
        <v>250</v>
      </c>
      <c r="B795" s="3" t="s">
        <v>33</v>
      </c>
      <c r="C795" s="4" t="s">
        <v>341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7.25" x14ac:dyDescent="0.3">
      <c r="A796" s="3" t="s">
        <v>251</v>
      </c>
      <c r="B796" s="3" t="s">
        <v>75</v>
      </c>
      <c r="C796" s="4" t="s">
        <v>338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7.25" x14ac:dyDescent="0.3">
      <c r="A797" s="22" t="s">
        <v>251</v>
      </c>
      <c r="B797" s="3" t="s">
        <v>60</v>
      </c>
      <c r="C797" s="4" t="s">
        <v>337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7.25" x14ac:dyDescent="0.3">
      <c r="A798" s="22" t="s">
        <v>251</v>
      </c>
      <c r="B798" s="3" t="s">
        <v>24</v>
      </c>
      <c r="C798" s="4" t="s">
        <v>338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7.25" x14ac:dyDescent="0.3">
      <c r="A799" s="22" t="s">
        <v>251</v>
      </c>
      <c r="B799" s="3" t="s">
        <v>27</v>
      </c>
      <c r="C799" s="4" t="s">
        <v>337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7.25" x14ac:dyDescent="0.3">
      <c r="A800" s="22" t="s">
        <v>251</v>
      </c>
      <c r="B800" s="3" t="s">
        <v>27</v>
      </c>
      <c r="C800" s="4" t="s">
        <v>339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7.25" x14ac:dyDescent="0.3">
      <c r="A801" s="22" t="s">
        <v>251</v>
      </c>
      <c r="B801" s="3" t="s">
        <v>43</v>
      </c>
      <c r="C801" s="4" t="s">
        <v>341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7.25" x14ac:dyDescent="0.3">
      <c r="A802" s="22" t="s">
        <v>251</v>
      </c>
      <c r="B802" s="3" t="s">
        <v>43</v>
      </c>
      <c r="C802" s="4" t="s">
        <v>341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7.25" x14ac:dyDescent="0.3">
      <c r="A803" s="3" t="s">
        <v>251</v>
      </c>
      <c r="B803" s="3" t="s">
        <v>93</v>
      </c>
      <c r="C803" s="4" t="s">
        <v>341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7.25" x14ac:dyDescent="0.3">
      <c r="A804" s="3" t="s">
        <v>251</v>
      </c>
      <c r="B804" s="3" t="s">
        <v>93</v>
      </c>
      <c r="C804" s="4" t="s">
        <v>341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7.25" x14ac:dyDescent="0.3">
      <c r="A805" s="3" t="s">
        <v>251</v>
      </c>
      <c r="B805" s="3" t="s">
        <v>41</v>
      </c>
      <c r="C805" s="4" t="s">
        <v>339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7.25" x14ac:dyDescent="0.3">
      <c r="A806" s="3" t="s">
        <v>252</v>
      </c>
      <c r="B806" s="3" t="s">
        <v>99</v>
      </c>
      <c r="C806" s="4" t="s">
        <v>342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7.25" x14ac:dyDescent="0.3">
      <c r="A807" s="22" t="s">
        <v>252</v>
      </c>
      <c r="B807" s="3" t="s">
        <v>16</v>
      </c>
      <c r="C807" s="4" t="s">
        <v>344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7.25" x14ac:dyDescent="0.3">
      <c r="A808" s="22" t="s">
        <v>252</v>
      </c>
      <c r="B808" s="3" t="s">
        <v>95</v>
      </c>
      <c r="C808" s="4" t="s">
        <v>341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7.25" x14ac:dyDescent="0.3">
      <c r="A809" s="22" t="s">
        <v>252</v>
      </c>
      <c r="B809" s="3" t="s">
        <v>95</v>
      </c>
      <c r="C809" s="4" t="s">
        <v>341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7.25" x14ac:dyDescent="0.3">
      <c r="A810" s="3" t="s">
        <v>252</v>
      </c>
      <c r="B810" s="3" t="s">
        <v>31</v>
      </c>
      <c r="C810" s="4" t="s">
        <v>344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7.25" x14ac:dyDescent="0.3">
      <c r="A811" s="3" t="s">
        <v>252</v>
      </c>
      <c r="B811" s="3" t="s">
        <v>29</v>
      </c>
      <c r="C811" s="4" t="s">
        <v>339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7.25" x14ac:dyDescent="0.3">
      <c r="A812" s="22" t="s">
        <v>252</v>
      </c>
      <c r="B812" s="3" t="s">
        <v>41</v>
      </c>
      <c r="C812" s="4" t="s">
        <v>344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7.25" x14ac:dyDescent="0.3">
      <c r="A813" s="3" t="s">
        <v>252</v>
      </c>
      <c r="B813" s="3" t="s">
        <v>33</v>
      </c>
      <c r="C813" s="4" t="s">
        <v>341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7.25" x14ac:dyDescent="0.3">
      <c r="A814" s="3" t="s">
        <v>252</v>
      </c>
      <c r="B814" s="3" t="s">
        <v>33</v>
      </c>
      <c r="C814" s="4" t="s">
        <v>341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7.25" x14ac:dyDescent="0.3">
      <c r="A815" s="3" t="s">
        <v>252</v>
      </c>
      <c r="B815" s="3" t="s">
        <v>29</v>
      </c>
      <c r="C815" s="4" t="s">
        <v>337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7.25" x14ac:dyDescent="0.3">
      <c r="A816" s="3" t="s">
        <v>253</v>
      </c>
      <c r="B816" s="3" t="s">
        <v>60</v>
      </c>
      <c r="C816" s="4" t="s">
        <v>342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7.25" x14ac:dyDescent="0.3">
      <c r="A817" s="3" t="s">
        <v>253</v>
      </c>
      <c r="B817" s="3" t="s">
        <v>48</v>
      </c>
      <c r="C817" s="4" t="s">
        <v>344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7.25" x14ac:dyDescent="0.3">
      <c r="A818" s="3" t="s">
        <v>253</v>
      </c>
      <c r="B818" s="3" t="s">
        <v>24</v>
      </c>
      <c r="C818" s="4" t="s">
        <v>342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7.25" x14ac:dyDescent="0.3">
      <c r="A819" s="3" t="s">
        <v>253</v>
      </c>
      <c r="B819" s="3" t="s">
        <v>99</v>
      </c>
      <c r="C819" s="4" t="s">
        <v>338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7.25" x14ac:dyDescent="0.3">
      <c r="A820" s="3" t="s">
        <v>253</v>
      </c>
      <c r="B820" s="3" t="s">
        <v>21</v>
      </c>
      <c r="C820" s="4" t="s">
        <v>344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7.25" x14ac:dyDescent="0.3">
      <c r="A821" s="3" t="s">
        <v>253</v>
      </c>
      <c r="B821" s="3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7.25" x14ac:dyDescent="0.3">
      <c r="A822" s="22" t="s">
        <v>253</v>
      </c>
      <c r="B822" s="3" t="s">
        <v>43</v>
      </c>
      <c r="C822" s="4" t="s">
        <v>341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7.25" x14ac:dyDescent="0.3">
      <c r="A823" s="22" t="s">
        <v>253</v>
      </c>
      <c r="B823" s="3" t="s">
        <v>43</v>
      </c>
      <c r="C823" s="4" t="s">
        <v>341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7.25" x14ac:dyDescent="0.3">
      <c r="A824" s="3" t="s">
        <v>253</v>
      </c>
      <c r="B824" s="3" t="s">
        <v>93</v>
      </c>
      <c r="C824" s="4" t="s">
        <v>341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7.25" x14ac:dyDescent="0.3">
      <c r="A825" s="3" t="s">
        <v>253</v>
      </c>
      <c r="B825" s="3" t="s">
        <v>93</v>
      </c>
      <c r="C825" s="4" t="s">
        <v>341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7.25" x14ac:dyDescent="0.3">
      <c r="A826" s="22" t="s">
        <v>253</v>
      </c>
      <c r="B826" s="3" t="s">
        <v>23</v>
      </c>
      <c r="C826" s="4" t="s">
        <v>344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7.25" x14ac:dyDescent="0.3">
      <c r="A827" s="22" t="s">
        <v>253</v>
      </c>
      <c r="B827" s="3" t="s">
        <v>23</v>
      </c>
      <c r="C827" s="4" t="s">
        <v>344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7.25" x14ac:dyDescent="0.3">
      <c r="A828" s="3" t="s">
        <v>253</v>
      </c>
      <c r="B828" s="3" t="s">
        <v>23</v>
      </c>
      <c r="C828" s="4" t="s">
        <v>342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7.25" x14ac:dyDescent="0.3">
      <c r="A829" s="3" t="s">
        <v>253</v>
      </c>
      <c r="B829" s="3" t="s">
        <v>23</v>
      </c>
      <c r="C829" s="4" t="s">
        <v>342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7.25" x14ac:dyDescent="0.3">
      <c r="A830" s="3" t="s">
        <v>253</v>
      </c>
      <c r="B830" s="3" t="s">
        <v>21</v>
      </c>
      <c r="C830" s="4" t="s">
        <v>340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7.25" x14ac:dyDescent="0.3">
      <c r="A831" s="3" t="s">
        <v>254</v>
      </c>
      <c r="B831" s="3" t="s">
        <v>63</v>
      </c>
      <c r="C831" s="4" t="s">
        <v>341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7.25" x14ac:dyDescent="0.3">
      <c r="A832" s="22" t="s">
        <v>254</v>
      </c>
      <c r="B832" s="3" t="s">
        <v>75</v>
      </c>
      <c r="C832" s="4" t="s">
        <v>344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7.25" x14ac:dyDescent="0.3">
      <c r="A833" s="3" t="s">
        <v>254</v>
      </c>
      <c r="B833" s="3" t="s">
        <v>75</v>
      </c>
      <c r="C833" s="4" t="s">
        <v>342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7.25" x14ac:dyDescent="0.3">
      <c r="A834" s="3" t="s">
        <v>254</v>
      </c>
      <c r="B834" s="3" t="s">
        <v>75</v>
      </c>
      <c r="C834" s="4" t="s">
        <v>341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7.25" x14ac:dyDescent="0.3">
      <c r="A835" s="3" t="s">
        <v>254</v>
      </c>
      <c r="B835" s="3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7.25" x14ac:dyDescent="0.3">
      <c r="A836" s="3" t="s">
        <v>254</v>
      </c>
      <c r="B836" s="3" t="s">
        <v>48</v>
      </c>
      <c r="C836" s="4" t="s">
        <v>344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7.25" x14ac:dyDescent="0.3">
      <c r="A837" s="22" t="s">
        <v>254</v>
      </c>
      <c r="B837" s="3" t="s">
        <v>14</v>
      </c>
      <c r="C837" s="4" t="s">
        <v>344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7.25" x14ac:dyDescent="0.3">
      <c r="A838" s="22" t="s">
        <v>254</v>
      </c>
      <c r="B838" s="3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7.25" x14ac:dyDescent="0.3">
      <c r="A839" s="3" t="s">
        <v>254</v>
      </c>
      <c r="B839" s="3" t="s">
        <v>24</v>
      </c>
      <c r="C839" s="4" t="s">
        <v>344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7.25" x14ac:dyDescent="0.3">
      <c r="A840" s="3" t="s">
        <v>254</v>
      </c>
      <c r="B840" s="3" t="s">
        <v>95</v>
      </c>
      <c r="C840" s="4" t="s">
        <v>341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7.25" x14ac:dyDescent="0.3">
      <c r="A841" s="3" t="s">
        <v>254</v>
      </c>
      <c r="B841" s="3" t="s">
        <v>95</v>
      </c>
      <c r="C841" s="4" t="s">
        <v>341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7.25" x14ac:dyDescent="0.3">
      <c r="A842" s="22" t="s">
        <v>254</v>
      </c>
      <c r="B842" s="3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7.25" x14ac:dyDescent="0.3">
      <c r="A843" s="3" t="s">
        <v>254</v>
      </c>
      <c r="B843" s="3" t="s">
        <v>25</v>
      </c>
      <c r="C843" s="4" t="s">
        <v>337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7.25" x14ac:dyDescent="0.3">
      <c r="A844" s="22" t="s">
        <v>254</v>
      </c>
      <c r="B844" s="3" t="s">
        <v>43</v>
      </c>
      <c r="C844" s="4" t="s">
        <v>341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7.25" x14ac:dyDescent="0.3">
      <c r="A845" s="22" t="s">
        <v>254</v>
      </c>
      <c r="B845" s="3" t="s">
        <v>43</v>
      </c>
      <c r="C845" s="4" t="s">
        <v>341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7.25" x14ac:dyDescent="0.3">
      <c r="A846" s="3" t="s">
        <v>254</v>
      </c>
      <c r="B846" s="3" t="s">
        <v>11</v>
      </c>
      <c r="C846" s="4" t="s">
        <v>344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7.25" x14ac:dyDescent="0.3">
      <c r="A847" s="22" t="s">
        <v>254</v>
      </c>
      <c r="B847" s="3" t="s">
        <v>23</v>
      </c>
      <c r="C847" s="4" t="s">
        <v>344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7.25" x14ac:dyDescent="0.3">
      <c r="A848" s="22" t="s">
        <v>254</v>
      </c>
      <c r="B848" s="3" t="s">
        <v>23</v>
      </c>
      <c r="C848" s="4" t="s">
        <v>342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7.25" x14ac:dyDescent="0.3">
      <c r="A849" s="22" t="s">
        <v>254</v>
      </c>
      <c r="B849" s="3" t="s">
        <v>23</v>
      </c>
      <c r="C849" s="4" t="s">
        <v>342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7.25" x14ac:dyDescent="0.3">
      <c r="A850" s="22" t="s">
        <v>254</v>
      </c>
      <c r="B850" s="3" t="s">
        <v>23</v>
      </c>
      <c r="C850" s="4" t="s">
        <v>342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7.25" x14ac:dyDescent="0.3">
      <c r="A851" s="3" t="s">
        <v>254</v>
      </c>
      <c r="B851" s="3" t="s">
        <v>46</v>
      </c>
      <c r="C851" s="4" t="s">
        <v>342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7.25" x14ac:dyDescent="0.3">
      <c r="A852" s="3" t="s">
        <v>254</v>
      </c>
      <c r="B852" s="3" t="s">
        <v>41</v>
      </c>
      <c r="C852" s="4" t="s">
        <v>337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7.25" x14ac:dyDescent="0.3">
      <c r="A853" s="22" t="s">
        <v>254</v>
      </c>
      <c r="B853" s="3" t="s">
        <v>69</v>
      </c>
      <c r="C853" s="4" t="s">
        <v>338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7.25" x14ac:dyDescent="0.3">
      <c r="A854" s="3" t="s">
        <v>254</v>
      </c>
      <c r="B854" s="3" t="s">
        <v>33</v>
      </c>
      <c r="C854" s="4" t="s">
        <v>344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7.25" x14ac:dyDescent="0.3">
      <c r="A855" s="3" t="s">
        <v>254</v>
      </c>
      <c r="B855" s="3" t="s">
        <v>33</v>
      </c>
      <c r="C855" s="4" t="s">
        <v>341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7.25" x14ac:dyDescent="0.3">
      <c r="A856" s="22" t="s">
        <v>255</v>
      </c>
      <c r="B856" s="3" t="s">
        <v>63</v>
      </c>
      <c r="C856" s="4" t="s">
        <v>344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7.25" x14ac:dyDescent="0.3">
      <c r="A857" s="22" t="s">
        <v>255</v>
      </c>
      <c r="B857" s="3" t="s">
        <v>16</v>
      </c>
      <c r="C857" s="4" t="s">
        <v>344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7.25" x14ac:dyDescent="0.3">
      <c r="A858" s="3" t="s">
        <v>255</v>
      </c>
      <c r="B858" s="3" t="s">
        <v>95</v>
      </c>
      <c r="C858" s="4" t="s">
        <v>341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7.25" x14ac:dyDescent="0.3">
      <c r="A859" s="3" t="s">
        <v>255</v>
      </c>
      <c r="B859" s="3" t="s">
        <v>95</v>
      </c>
      <c r="C859" s="4" t="s">
        <v>341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7.25" x14ac:dyDescent="0.3">
      <c r="A860" s="3" t="s">
        <v>255</v>
      </c>
      <c r="B860" s="3" t="s">
        <v>51</v>
      </c>
      <c r="C860" s="4" t="s">
        <v>337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7.25" x14ac:dyDescent="0.3">
      <c r="A861" s="3" t="s">
        <v>255</v>
      </c>
      <c r="B861" s="3" t="s">
        <v>25</v>
      </c>
      <c r="C861" s="4" t="s">
        <v>344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7.25" x14ac:dyDescent="0.3">
      <c r="A862" s="3" t="s">
        <v>255</v>
      </c>
      <c r="B862" s="3" t="s">
        <v>93</v>
      </c>
      <c r="C862" s="4" t="s">
        <v>341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7.25" x14ac:dyDescent="0.3">
      <c r="A863" s="3" t="s">
        <v>255</v>
      </c>
      <c r="B863" s="3" t="s">
        <v>93</v>
      </c>
      <c r="C863" s="4" t="s">
        <v>341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7.25" x14ac:dyDescent="0.3">
      <c r="A864" s="22" t="s">
        <v>255</v>
      </c>
      <c r="B864" s="3" t="s">
        <v>23</v>
      </c>
      <c r="C864" s="4" t="s">
        <v>342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7.25" x14ac:dyDescent="0.3">
      <c r="A865" s="22" t="s">
        <v>255</v>
      </c>
      <c r="B865" s="3" t="s">
        <v>69</v>
      </c>
      <c r="C865" s="4" t="s">
        <v>337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7.25" x14ac:dyDescent="0.3">
      <c r="A866" s="3" t="s">
        <v>255</v>
      </c>
      <c r="B866" s="3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7.25" x14ac:dyDescent="0.3">
      <c r="A867" s="3" t="s">
        <v>256</v>
      </c>
      <c r="B867" s="3" t="s">
        <v>24</v>
      </c>
      <c r="C867" s="4" t="s">
        <v>342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7.25" x14ac:dyDescent="0.3">
      <c r="A868" s="3" t="s">
        <v>256</v>
      </c>
      <c r="B868" s="3" t="s">
        <v>21</v>
      </c>
      <c r="C868" s="4" t="s">
        <v>344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7.25" x14ac:dyDescent="0.3">
      <c r="A869" s="3" t="s">
        <v>256</v>
      </c>
      <c r="B869" s="3" t="s">
        <v>93</v>
      </c>
      <c r="C869" s="4" t="s">
        <v>341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7.25" x14ac:dyDescent="0.3">
      <c r="A870" s="3" t="s">
        <v>256</v>
      </c>
      <c r="B870" s="3" t="s">
        <v>93</v>
      </c>
      <c r="C870" s="4" t="s">
        <v>341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7.25" x14ac:dyDescent="0.3">
      <c r="A871" s="3" t="s">
        <v>257</v>
      </c>
      <c r="B871" s="3" t="s">
        <v>63</v>
      </c>
      <c r="C871" s="4" t="s">
        <v>342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7.25" x14ac:dyDescent="0.3">
      <c r="A872" s="3" t="s">
        <v>257</v>
      </c>
      <c r="B872" s="3" t="s">
        <v>63</v>
      </c>
      <c r="C872" s="4" t="s">
        <v>341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7.25" x14ac:dyDescent="0.3">
      <c r="A873" s="3" t="s">
        <v>257</v>
      </c>
      <c r="B873" s="3" t="s">
        <v>19</v>
      </c>
      <c r="C873" s="4" t="s">
        <v>344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7.25" x14ac:dyDescent="0.3">
      <c r="A874" s="22" t="s">
        <v>257</v>
      </c>
      <c r="B874" s="3" t="s">
        <v>19</v>
      </c>
      <c r="C874" s="4" t="s">
        <v>344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7.25" x14ac:dyDescent="0.3">
      <c r="A875" s="22" t="s">
        <v>257</v>
      </c>
      <c r="B875" s="3" t="s">
        <v>19</v>
      </c>
      <c r="C875" s="4" t="s">
        <v>344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7.25" x14ac:dyDescent="0.3">
      <c r="A876" s="22" t="s">
        <v>257</v>
      </c>
      <c r="B876" s="3" t="s">
        <v>14</v>
      </c>
      <c r="C876" s="4" t="s">
        <v>344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7.25" x14ac:dyDescent="0.3">
      <c r="A877" s="22" t="s">
        <v>257</v>
      </c>
      <c r="B877" s="3" t="s">
        <v>8</v>
      </c>
      <c r="C877" s="4" t="s">
        <v>337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7.25" x14ac:dyDescent="0.3">
      <c r="A878" s="3" t="s">
        <v>257</v>
      </c>
      <c r="B878" s="3" t="s">
        <v>8</v>
      </c>
      <c r="C878" s="4" t="s">
        <v>344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7.25" x14ac:dyDescent="0.3">
      <c r="A879" s="3" t="s">
        <v>257</v>
      </c>
      <c r="B879" s="3" t="s">
        <v>95</v>
      </c>
      <c r="C879" s="4" t="s">
        <v>341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7.25" x14ac:dyDescent="0.3">
      <c r="A880" s="3" t="s">
        <v>257</v>
      </c>
      <c r="B880" s="3" t="s">
        <v>95</v>
      </c>
      <c r="C880" s="4" t="s">
        <v>341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7.25" x14ac:dyDescent="0.3">
      <c r="A881" s="3" t="s">
        <v>257</v>
      </c>
      <c r="B881" s="3" t="s">
        <v>51</v>
      </c>
      <c r="C881" s="4" t="s">
        <v>344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7.25" x14ac:dyDescent="0.3">
      <c r="A882" s="22" t="s">
        <v>257</v>
      </c>
      <c r="B882" s="3" t="s">
        <v>25</v>
      </c>
      <c r="C882" s="4" t="s">
        <v>337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7.25" x14ac:dyDescent="0.3">
      <c r="A883" s="3" t="s">
        <v>257</v>
      </c>
      <c r="B883" s="3" t="s">
        <v>11</v>
      </c>
      <c r="C883" s="4" t="s">
        <v>337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7.25" x14ac:dyDescent="0.3">
      <c r="A884" s="3" t="s">
        <v>257</v>
      </c>
      <c r="B884" s="3" t="s">
        <v>69</v>
      </c>
      <c r="C884" s="4" t="s">
        <v>342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7.25" x14ac:dyDescent="0.3">
      <c r="A885" s="3" t="s">
        <v>257</v>
      </c>
      <c r="B885" s="3" t="s">
        <v>33</v>
      </c>
      <c r="C885" s="4" t="s">
        <v>342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7.25" x14ac:dyDescent="0.3">
      <c r="A886" s="3" t="s">
        <v>258</v>
      </c>
      <c r="B886" s="3" t="s">
        <v>75</v>
      </c>
      <c r="C886" s="4" t="s">
        <v>344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7.25" x14ac:dyDescent="0.3">
      <c r="A887" s="3" t="s">
        <v>258</v>
      </c>
      <c r="B887" s="3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7.25" x14ac:dyDescent="0.3">
      <c r="A888" s="22" t="s">
        <v>258</v>
      </c>
      <c r="B888" s="3" t="s">
        <v>60</v>
      </c>
      <c r="C888" s="4" t="s">
        <v>344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7.25" x14ac:dyDescent="0.3">
      <c r="A889" s="3" t="s">
        <v>258</v>
      </c>
      <c r="B889" s="3" t="s">
        <v>60</v>
      </c>
      <c r="C889" s="4" t="s">
        <v>337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7.25" x14ac:dyDescent="0.3">
      <c r="A890" s="3" t="s">
        <v>258</v>
      </c>
      <c r="B890" s="3" t="s">
        <v>60</v>
      </c>
      <c r="C890" s="4" t="s">
        <v>342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7.25" x14ac:dyDescent="0.3">
      <c r="A891" s="22" t="s">
        <v>258</v>
      </c>
      <c r="B891" s="3" t="s">
        <v>24</v>
      </c>
      <c r="C891" s="4" t="s">
        <v>338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7.25" x14ac:dyDescent="0.3">
      <c r="A892" s="3" t="s">
        <v>258</v>
      </c>
      <c r="B892" s="3" t="s">
        <v>24</v>
      </c>
      <c r="C892" s="4" t="s">
        <v>344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7.25" x14ac:dyDescent="0.3">
      <c r="A893" s="22" t="s">
        <v>258</v>
      </c>
      <c r="B893" s="3" t="s">
        <v>8</v>
      </c>
      <c r="C893" s="4" t="s">
        <v>338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7.25" x14ac:dyDescent="0.3">
      <c r="A894" s="3" t="s">
        <v>258</v>
      </c>
      <c r="B894" s="3" t="s">
        <v>21</v>
      </c>
      <c r="C894" s="4" t="s">
        <v>344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7.25" x14ac:dyDescent="0.3">
      <c r="A895" s="22" t="s">
        <v>258</v>
      </c>
      <c r="B895" s="3" t="s">
        <v>27</v>
      </c>
      <c r="C895" s="4" t="s">
        <v>344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7.25" x14ac:dyDescent="0.3">
      <c r="A896" s="22" t="s">
        <v>258</v>
      </c>
      <c r="B896" s="3" t="s">
        <v>93</v>
      </c>
      <c r="C896" s="4" t="s">
        <v>341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7.25" x14ac:dyDescent="0.3">
      <c r="A897" s="22" t="s">
        <v>258</v>
      </c>
      <c r="B897" s="3" t="s">
        <v>93</v>
      </c>
      <c r="C897" s="4" t="s">
        <v>341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7.25" x14ac:dyDescent="0.3">
      <c r="A898" s="22" t="s">
        <v>259</v>
      </c>
      <c r="B898" s="3" t="s">
        <v>75</v>
      </c>
      <c r="C898" s="4" t="s">
        <v>344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7.25" x14ac:dyDescent="0.3">
      <c r="A899" s="3" t="s">
        <v>259</v>
      </c>
      <c r="B899" s="3" t="s">
        <v>75</v>
      </c>
      <c r="C899" s="4" t="s">
        <v>342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7.25" x14ac:dyDescent="0.3">
      <c r="A900" s="3" t="s">
        <v>259</v>
      </c>
      <c r="B900" s="3" t="s">
        <v>95</v>
      </c>
      <c r="C900" s="4" t="s">
        <v>341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7.25" x14ac:dyDescent="0.3">
      <c r="A901" s="3" t="s">
        <v>259</v>
      </c>
      <c r="B901" s="3" t="s">
        <v>95</v>
      </c>
      <c r="C901" s="4" t="s">
        <v>341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7.25" x14ac:dyDescent="0.3">
      <c r="A902" s="3" t="s">
        <v>259</v>
      </c>
      <c r="B902" s="3" t="s">
        <v>25</v>
      </c>
      <c r="C902" s="4" t="s">
        <v>337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7.25" x14ac:dyDescent="0.3">
      <c r="A903" s="22" t="s">
        <v>259</v>
      </c>
      <c r="B903" s="3" t="s">
        <v>150</v>
      </c>
      <c r="C903" s="4" t="s">
        <v>344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7.25" x14ac:dyDescent="0.3">
      <c r="A904" s="22" t="s">
        <v>259</v>
      </c>
      <c r="B904" s="3" t="s">
        <v>43</v>
      </c>
      <c r="C904" s="4" t="s">
        <v>341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7.25" x14ac:dyDescent="0.3">
      <c r="A905" s="22" t="s">
        <v>259</v>
      </c>
      <c r="B905" s="3" t="s">
        <v>43</v>
      </c>
      <c r="C905" s="4" t="s">
        <v>341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7.25" x14ac:dyDescent="0.3">
      <c r="A906" s="22" t="s">
        <v>259</v>
      </c>
      <c r="B906" s="3" t="s">
        <v>23</v>
      </c>
      <c r="C906" s="4" t="s">
        <v>342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7.25" x14ac:dyDescent="0.3">
      <c r="A907" s="22" t="s">
        <v>259</v>
      </c>
      <c r="B907" s="3" t="s">
        <v>23</v>
      </c>
      <c r="C907" s="4" t="s">
        <v>342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7.25" x14ac:dyDescent="0.3">
      <c r="A908" s="3" t="s">
        <v>259</v>
      </c>
      <c r="B908" s="3" t="s">
        <v>33</v>
      </c>
      <c r="C908" s="4" t="s">
        <v>344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7.25" x14ac:dyDescent="0.3">
      <c r="A909" s="3" t="s">
        <v>259</v>
      </c>
      <c r="B909" s="3" t="s">
        <v>33</v>
      </c>
      <c r="C909" s="4" t="s">
        <v>341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7.25" x14ac:dyDescent="0.3">
      <c r="A910" s="3" t="s">
        <v>259</v>
      </c>
      <c r="B910" s="3" t="s">
        <v>29</v>
      </c>
      <c r="C910" s="4" t="s">
        <v>344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7.25" x14ac:dyDescent="0.3">
      <c r="A911" s="3" t="s">
        <v>260</v>
      </c>
      <c r="B911" s="3" t="s">
        <v>11</v>
      </c>
      <c r="C911" s="4" t="s">
        <v>337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7.25" x14ac:dyDescent="0.3">
      <c r="A912" s="22" t="s">
        <v>260</v>
      </c>
      <c r="B912" s="3" t="s">
        <v>14</v>
      </c>
      <c r="C912" s="4" t="s">
        <v>344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7.25" x14ac:dyDescent="0.3">
      <c r="A913" s="22" t="s">
        <v>260</v>
      </c>
      <c r="B913" s="3" t="s">
        <v>14</v>
      </c>
      <c r="C913" s="4" t="s">
        <v>343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7.25" x14ac:dyDescent="0.3">
      <c r="A914" s="22" t="s">
        <v>260</v>
      </c>
      <c r="B914" s="3" t="s">
        <v>8</v>
      </c>
      <c r="C914" s="4" t="s">
        <v>342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7.25" x14ac:dyDescent="0.3">
      <c r="A915" s="22" t="s">
        <v>260</v>
      </c>
      <c r="B915" s="3" t="s">
        <v>95</v>
      </c>
      <c r="C915" s="4" t="s">
        <v>338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7.25" x14ac:dyDescent="0.3">
      <c r="A916" s="22" t="s">
        <v>260</v>
      </c>
      <c r="B916" s="3" t="s">
        <v>27</v>
      </c>
      <c r="C916" s="4" t="s">
        <v>344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7.25" x14ac:dyDescent="0.3">
      <c r="A917" s="3" t="s">
        <v>260</v>
      </c>
      <c r="B917" s="3" t="s">
        <v>150</v>
      </c>
      <c r="C917" s="4" t="s">
        <v>344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7.25" x14ac:dyDescent="0.3">
      <c r="A918" s="22" t="s">
        <v>260</v>
      </c>
      <c r="B918" s="3" t="s">
        <v>11</v>
      </c>
      <c r="C918" s="4" t="s">
        <v>344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7.25" x14ac:dyDescent="0.3">
      <c r="A919" s="22" t="s">
        <v>260</v>
      </c>
      <c r="B919" s="3" t="s">
        <v>23</v>
      </c>
      <c r="C919" s="4" t="s">
        <v>342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7.25" x14ac:dyDescent="0.3">
      <c r="A920" s="22" t="s">
        <v>260</v>
      </c>
      <c r="B920" s="3" t="s">
        <v>102</v>
      </c>
      <c r="C920" s="4" t="s">
        <v>338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7.25" x14ac:dyDescent="0.3">
      <c r="A921" s="3" t="s">
        <v>260</v>
      </c>
      <c r="B921" s="3" t="s">
        <v>33</v>
      </c>
      <c r="C921" s="4" t="s">
        <v>341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7.25" x14ac:dyDescent="0.3">
      <c r="A922" s="3" t="s">
        <v>260</v>
      </c>
      <c r="B922" s="3" t="s">
        <v>33</v>
      </c>
      <c r="C922" s="4" t="s">
        <v>341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7.25" x14ac:dyDescent="0.3">
      <c r="A923" s="3" t="s">
        <v>260</v>
      </c>
      <c r="B923" s="3" t="s">
        <v>29</v>
      </c>
      <c r="C923" s="4" t="s">
        <v>344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7.25" x14ac:dyDescent="0.3">
      <c r="A924" s="3" t="s">
        <v>260</v>
      </c>
      <c r="B924" s="3" t="s">
        <v>93</v>
      </c>
      <c r="C924" s="4" t="s">
        <v>338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7.25" x14ac:dyDescent="0.3">
      <c r="A925" s="3" t="s">
        <v>261</v>
      </c>
      <c r="B925" s="3" t="s">
        <v>27</v>
      </c>
      <c r="C925" s="4" t="s">
        <v>344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7.25" x14ac:dyDescent="0.3">
      <c r="A926" s="3" t="s">
        <v>261</v>
      </c>
      <c r="B926" s="3" t="s">
        <v>99</v>
      </c>
      <c r="C926" s="4" t="s">
        <v>338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7.25" x14ac:dyDescent="0.3">
      <c r="A927" s="3" t="s">
        <v>261</v>
      </c>
      <c r="B927" s="3" t="s">
        <v>266</v>
      </c>
      <c r="C927" s="4" t="s">
        <v>339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7.25" x14ac:dyDescent="0.3">
      <c r="A928" s="22" t="s">
        <v>261</v>
      </c>
      <c r="B928" s="3" t="s">
        <v>24</v>
      </c>
      <c r="C928" s="4" t="s">
        <v>341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7.25" x14ac:dyDescent="0.3">
      <c r="A929" s="22" t="s">
        <v>262</v>
      </c>
      <c r="B929" s="3" t="s">
        <v>63</v>
      </c>
      <c r="C929" s="4" t="s">
        <v>342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7.25" x14ac:dyDescent="0.3">
      <c r="A930" s="3" t="s">
        <v>262</v>
      </c>
      <c r="B930" s="3" t="s">
        <v>95</v>
      </c>
      <c r="C930" s="4" t="s">
        <v>341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7.25" x14ac:dyDescent="0.3">
      <c r="A931" s="3" t="s">
        <v>262</v>
      </c>
      <c r="B931" s="3" t="s">
        <v>95</v>
      </c>
      <c r="C931" s="4" t="s">
        <v>341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7.25" x14ac:dyDescent="0.3">
      <c r="A932" s="3" t="s">
        <v>262</v>
      </c>
      <c r="B932" s="3" t="s">
        <v>41</v>
      </c>
      <c r="C932" s="4" t="s">
        <v>344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7.25" x14ac:dyDescent="0.3">
      <c r="A933" s="3" t="s">
        <v>262</v>
      </c>
      <c r="B933" s="3" t="s">
        <v>103</v>
      </c>
      <c r="C933" s="4" t="s">
        <v>338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7.25" x14ac:dyDescent="0.3">
      <c r="A934" s="3" t="s">
        <v>262</v>
      </c>
      <c r="B934" s="3" t="s">
        <v>69</v>
      </c>
      <c r="C934" s="4" t="s">
        <v>344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7.25" x14ac:dyDescent="0.3">
      <c r="A935" s="3" t="s">
        <v>262</v>
      </c>
      <c r="B935" s="3" t="s">
        <v>33</v>
      </c>
      <c r="C935" s="4" t="s">
        <v>344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7.25" x14ac:dyDescent="0.3">
      <c r="A936" s="3" t="s">
        <v>262</v>
      </c>
      <c r="B936" s="3" t="s">
        <v>11</v>
      </c>
      <c r="C936" s="4" t="s">
        <v>344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7.25" x14ac:dyDescent="0.3">
      <c r="A937" s="3" t="s">
        <v>262</v>
      </c>
      <c r="B937" s="3" t="s">
        <v>102</v>
      </c>
      <c r="C937" s="4" t="s">
        <v>344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7.25" x14ac:dyDescent="0.3">
      <c r="A938" s="3" t="s">
        <v>262</v>
      </c>
      <c r="B938" s="3" t="s">
        <v>21</v>
      </c>
      <c r="C938" s="4" t="s">
        <v>344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7.25" x14ac:dyDescent="0.3">
      <c r="A939" s="3" t="s">
        <v>262</v>
      </c>
      <c r="B939" s="3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7.25" x14ac:dyDescent="0.3">
      <c r="A940" s="22" t="s">
        <v>262</v>
      </c>
      <c r="B940" s="3" t="s">
        <v>29</v>
      </c>
      <c r="C940" s="4" t="s">
        <v>344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7.25" x14ac:dyDescent="0.3">
      <c r="A941" s="3" t="s">
        <v>262</v>
      </c>
      <c r="B941" s="3" t="s">
        <v>43</v>
      </c>
      <c r="C941" s="4" t="s">
        <v>344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7.25" x14ac:dyDescent="0.3">
      <c r="A942" s="3" t="s">
        <v>262</v>
      </c>
      <c r="B942" s="3" t="s">
        <v>267</v>
      </c>
      <c r="C942" s="4" t="s">
        <v>339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7.25" x14ac:dyDescent="0.3">
      <c r="A943" s="3" t="s">
        <v>263</v>
      </c>
      <c r="B943" s="3" t="s">
        <v>8</v>
      </c>
      <c r="C943" s="4" t="s">
        <v>344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7.25" x14ac:dyDescent="0.3">
      <c r="A944" s="3" t="s">
        <v>263</v>
      </c>
      <c r="B944" s="3" t="s">
        <v>93</v>
      </c>
      <c r="C944" s="4" t="s">
        <v>344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7.25" x14ac:dyDescent="0.3">
      <c r="A945" s="3" t="s">
        <v>263</v>
      </c>
      <c r="B945" s="3" t="s">
        <v>150</v>
      </c>
      <c r="C945" s="4" t="s">
        <v>344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7.25" x14ac:dyDescent="0.3">
      <c r="A946" s="3" t="s">
        <v>263</v>
      </c>
      <c r="B946" s="3" t="s">
        <v>150</v>
      </c>
      <c r="C946" s="4" t="s">
        <v>344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7.25" x14ac:dyDescent="0.3">
      <c r="A947" s="3" t="s">
        <v>263</v>
      </c>
      <c r="B947" s="3" t="s">
        <v>43</v>
      </c>
      <c r="C947" s="4" t="s">
        <v>337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7.25" x14ac:dyDescent="0.3">
      <c r="A948" s="3" t="s">
        <v>268</v>
      </c>
      <c r="B948" s="3" t="s">
        <v>24</v>
      </c>
      <c r="C948" s="4" t="s">
        <v>341</v>
      </c>
      <c r="D948" s="4" t="s">
        <v>17</v>
      </c>
      <c r="E948" s="7">
        <f>114/3</f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7.25" x14ac:dyDescent="0.3">
      <c r="A949" s="3" t="s">
        <v>268</v>
      </c>
      <c r="B949" s="3" t="s">
        <v>23</v>
      </c>
      <c r="C949" s="4" t="s">
        <v>342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7.25" x14ac:dyDescent="0.3">
      <c r="A950" s="3" t="s">
        <v>268</v>
      </c>
      <c r="B950" s="3" t="s">
        <v>23</v>
      </c>
      <c r="C950" s="4" t="s">
        <v>342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7.25" x14ac:dyDescent="0.3">
      <c r="A951" s="3" t="s">
        <v>268</v>
      </c>
      <c r="B951" s="3" t="s">
        <v>93</v>
      </c>
      <c r="C951" s="4" t="s">
        <v>341</v>
      </c>
      <c r="D951" s="4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7.25" x14ac:dyDescent="0.3">
      <c r="A952" s="3" t="s">
        <v>268</v>
      </c>
      <c r="B952" s="3" t="s">
        <v>93</v>
      </c>
      <c r="C952" s="4" t="s">
        <v>341</v>
      </c>
      <c r="D952" s="4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7.25" x14ac:dyDescent="0.3">
      <c r="A953" s="3" t="s">
        <v>268</v>
      </c>
      <c r="B953" s="3" t="s">
        <v>23</v>
      </c>
      <c r="C953" s="4" t="s">
        <v>342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7.25" x14ac:dyDescent="0.3">
      <c r="A954" s="3" t="s">
        <v>268</v>
      </c>
      <c r="B954" s="3" t="s">
        <v>24</v>
      </c>
      <c r="C954" s="4" t="s">
        <v>341</v>
      </c>
      <c r="D954" s="4" t="s">
        <v>110</v>
      </c>
      <c r="E954" s="7">
        <f>10/0.5</f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7.25" x14ac:dyDescent="0.3">
      <c r="A955" s="3" t="s">
        <v>268</v>
      </c>
      <c r="B955" s="3" t="s">
        <v>24</v>
      </c>
      <c r="C955" s="4" t="s">
        <v>341</v>
      </c>
      <c r="D955" s="4" t="s">
        <v>17</v>
      </c>
      <c r="E955" s="7">
        <f>597/3</f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7.25" x14ac:dyDescent="0.3">
      <c r="A956" s="3" t="s">
        <v>268</v>
      </c>
      <c r="B956" s="3" t="s">
        <v>23</v>
      </c>
      <c r="C956" s="4" t="s">
        <v>342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7.25" x14ac:dyDescent="0.3">
      <c r="A957" s="3" t="s">
        <v>268</v>
      </c>
      <c r="B957" s="3" t="s">
        <v>23</v>
      </c>
      <c r="C957" s="4" t="s">
        <v>342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7.25" x14ac:dyDescent="0.3">
      <c r="A958" s="3" t="s">
        <v>268</v>
      </c>
      <c r="B958" s="3" t="s">
        <v>27</v>
      </c>
      <c r="C958" s="4" t="s">
        <v>339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7.25" x14ac:dyDescent="0.3">
      <c r="A959" s="3" t="s">
        <v>268</v>
      </c>
      <c r="B959" s="3" t="s">
        <v>63</v>
      </c>
      <c r="C959" s="4" t="s">
        <v>339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7.25" x14ac:dyDescent="0.3">
      <c r="A960" s="3" t="s">
        <v>268</v>
      </c>
      <c r="B960" s="3" t="s">
        <v>43</v>
      </c>
      <c r="C960" s="4" t="s">
        <v>338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7.25" x14ac:dyDescent="0.3">
      <c r="A961" s="3" t="s">
        <v>268</v>
      </c>
      <c r="B961" s="3" t="s">
        <v>8</v>
      </c>
      <c r="C961" s="4" t="s">
        <v>338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7.25" x14ac:dyDescent="0.3">
      <c r="A962" s="3" t="s">
        <v>268</v>
      </c>
      <c r="B962" s="3" t="s">
        <v>33</v>
      </c>
      <c r="C962" s="4" t="s">
        <v>341</v>
      </c>
      <c r="D962" s="4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7.25" x14ac:dyDescent="0.3">
      <c r="A963" s="3" t="s">
        <v>268</v>
      </c>
      <c r="B963" s="3" t="s">
        <v>60</v>
      </c>
      <c r="C963" s="4" t="s">
        <v>337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7.25" x14ac:dyDescent="0.3">
      <c r="A964" s="3" t="s">
        <v>268</v>
      </c>
      <c r="B964" s="3" t="s">
        <v>60</v>
      </c>
      <c r="C964" s="4" t="s">
        <v>342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7.25" x14ac:dyDescent="0.3">
      <c r="A965" s="3" t="s">
        <v>268</v>
      </c>
      <c r="B965" s="3" t="s">
        <v>21</v>
      </c>
      <c r="C965" s="4" t="s">
        <v>216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7.25" x14ac:dyDescent="0.3">
      <c r="A966" s="3" t="s">
        <v>268</v>
      </c>
      <c r="B966" s="3" t="s">
        <v>21</v>
      </c>
      <c r="C966" s="4" t="s">
        <v>344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7.25" x14ac:dyDescent="0.3">
      <c r="A967" s="3" t="s">
        <v>268</v>
      </c>
      <c r="B967" s="3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7.25" x14ac:dyDescent="0.3">
      <c r="A968" s="22" t="s">
        <v>268</v>
      </c>
      <c r="B968" s="3" t="s">
        <v>23</v>
      </c>
      <c r="C968" s="4" t="s">
        <v>342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7.25" x14ac:dyDescent="0.3">
      <c r="A969" s="22" t="s">
        <v>268</v>
      </c>
      <c r="B969" s="3" t="s">
        <v>23</v>
      </c>
      <c r="C969" s="4" t="s">
        <v>344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7.25" x14ac:dyDescent="0.3">
      <c r="A970" s="22" t="s">
        <v>268</v>
      </c>
      <c r="B970" s="3" t="s">
        <v>23</v>
      </c>
      <c r="C970" s="4" t="s">
        <v>344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7.25" x14ac:dyDescent="0.3">
      <c r="A971" s="22" t="s">
        <v>268</v>
      </c>
      <c r="B971" s="3" t="s">
        <v>48</v>
      </c>
      <c r="C971" s="4" t="s">
        <v>343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7.25" x14ac:dyDescent="0.3">
      <c r="A972" s="22" t="s">
        <v>269</v>
      </c>
      <c r="B972" s="3" t="s">
        <v>103</v>
      </c>
      <c r="C972" s="4" t="s">
        <v>338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7.25" x14ac:dyDescent="0.3">
      <c r="A973" s="3" t="s">
        <v>269</v>
      </c>
      <c r="B973" s="3" t="s">
        <v>21</v>
      </c>
      <c r="C973" s="4" t="s">
        <v>344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7.25" x14ac:dyDescent="0.3">
      <c r="A974" s="22" t="s">
        <v>269</v>
      </c>
      <c r="B974" s="3" t="s">
        <v>21</v>
      </c>
      <c r="C974" s="4" t="s">
        <v>344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7.25" x14ac:dyDescent="0.3">
      <c r="A975" s="3" t="s">
        <v>269</v>
      </c>
      <c r="B975" s="3" t="s">
        <v>31</v>
      </c>
      <c r="C975" s="4" t="s">
        <v>344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7.25" x14ac:dyDescent="0.3">
      <c r="A976" s="3" t="s">
        <v>269</v>
      </c>
      <c r="B976" s="3" t="s">
        <v>24</v>
      </c>
      <c r="C976" s="4" t="s">
        <v>342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7.25" x14ac:dyDescent="0.3">
      <c r="A977" s="22" t="s">
        <v>269</v>
      </c>
      <c r="B977" s="3" t="s">
        <v>24</v>
      </c>
      <c r="C977" s="4" t="s">
        <v>341</v>
      </c>
      <c r="D977" s="4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7.25" x14ac:dyDescent="0.3">
      <c r="A978" s="22" t="s">
        <v>269</v>
      </c>
      <c r="B978" s="3" t="s">
        <v>24</v>
      </c>
      <c r="C978" s="4" t="s">
        <v>344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7.25" x14ac:dyDescent="0.3">
      <c r="A979" s="22" t="s">
        <v>269</v>
      </c>
      <c r="B979" s="3" t="s">
        <v>24</v>
      </c>
      <c r="C979" s="4" t="s">
        <v>344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7.25" x14ac:dyDescent="0.3">
      <c r="A980" s="22" t="s">
        <v>269</v>
      </c>
      <c r="B980" s="3" t="s">
        <v>24</v>
      </c>
      <c r="C980" s="4" t="s">
        <v>341</v>
      </c>
      <c r="D980" s="4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7.25" x14ac:dyDescent="0.3">
      <c r="A981" s="22" t="s">
        <v>269</v>
      </c>
      <c r="B981" s="3" t="s">
        <v>23</v>
      </c>
      <c r="C981" s="4" t="s">
        <v>344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7.25" x14ac:dyDescent="0.3">
      <c r="A982" s="22" t="s">
        <v>269</v>
      </c>
      <c r="B982" s="3" t="s">
        <v>23</v>
      </c>
      <c r="C982" s="4" t="s">
        <v>344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7.25" x14ac:dyDescent="0.3">
      <c r="A983" s="22" t="s">
        <v>269</v>
      </c>
      <c r="B983" s="3" t="s">
        <v>23</v>
      </c>
      <c r="C983" s="4" t="s">
        <v>344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7.25" x14ac:dyDescent="0.3">
      <c r="A984" s="22" t="s">
        <v>269</v>
      </c>
      <c r="B984" s="3" t="s">
        <v>48</v>
      </c>
      <c r="C984" s="4" t="s">
        <v>343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7.25" x14ac:dyDescent="0.3">
      <c r="A985" s="3" t="s">
        <v>269</v>
      </c>
      <c r="B985" s="3" t="s">
        <v>43</v>
      </c>
      <c r="C985" s="4" t="s">
        <v>344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7.25" x14ac:dyDescent="0.3">
      <c r="A986" s="22" t="s">
        <v>269</v>
      </c>
      <c r="B986" s="3" t="s">
        <v>14</v>
      </c>
      <c r="C986" s="4" t="s">
        <v>344</v>
      </c>
      <c r="D986" s="3" t="s">
        <v>32</v>
      </c>
      <c r="E986" s="7">
        <f>191.4/0.6</f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7.25" x14ac:dyDescent="0.3">
      <c r="A987" s="3" t="s">
        <v>269</v>
      </c>
      <c r="B987" s="3" t="s">
        <v>33</v>
      </c>
      <c r="C987" s="4" t="s">
        <v>341</v>
      </c>
      <c r="D987" s="4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7.25" x14ac:dyDescent="0.3">
      <c r="A988" s="22" t="s">
        <v>269</v>
      </c>
      <c r="B988" s="3" t="s">
        <v>33</v>
      </c>
      <c r="C988" s="4" t="s">
        <v>341</v>
      </c>
      <c r="D988" s="4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7.25" x14ac:dyDescent="0.3">
      <c r="A989" s="3" t="s">
        <v>269</v>
      </c>
      <c r="B989" s="3" t="s">
        <v>95</v>
      </c>
      <c r="C989" s="4" t="s">
        <v>342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7.25" x14ac:dyDescent="0.3">
      <c r="A990" s="3" t="s">
        <v>269</v>
      </c>
      <c r="B990" s="3" t="s">
        <v>51</v>
      </c>
      <c r="C990" s="4" t="s">
        <v>344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7.25" x14ac:dyDescent="0.3">
      <c r="A991" s="3" t="s">
        <v>270</v>
      </c>
      <c r="B991" s="3" t="s">
        <v>93</v>
      </c>
      <c r="C991" s="4" t="s">
        <v>344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7.25" x14ac:dyDescent="0.3">
      <c r="A992" s="22" t="s">
        <v>270</v>
      </c>
      <c r="B992" s="3" t="s">
        <v>21</v>
      </c>
      <c r="C992" s="4" t="s">
        <v>339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7.25" x14ac:dyDescent="0.3">
      <c r="A993" s="22" t="s">
        <v>270</v>
      </c>
      <c r="B993" s="3" t="s">
        <v>46</v>
      </c>
      <c r="C993" s="4" t="s">
        <v>343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7.25" x14ac:dyDescent="0.3">
      <c r="A994" s="3" t="s">
        <v>270</v>
      </c>
      <c r="B994" s="3" t="s">
        <v>46</v>
      </c>
      <c r="C994" s="4" t="s">
        <v>337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7.25" x14ac:dyDescent="0.3">
      <c r="A995" s="3" t="s">
        <v>270</v>
      </c>
      <c r="B995" s="3" t="s">
        <v>69</v>
      </c>
      <c r="C995" s="4" t="s">
        <v>337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7.25" x14ac:dyDescent="0.3">
      <c r="A996" s="3" t="s">
        <v>270</v>
      </c>
      <c r="B996" s="3" t="s">
        <v>25</v>
      </c>
      <c r="C996" s="4" t="s">
        <v>337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7.25" x14ac:dyDescent="0.3">
      <c r="A997" s="22" t="s">
        <v>270</v>
      </c>
      <c r="B997" s="3" t="s">
        <v>99</v>
      </c>
      <c r="C997" s="4" t="s">
        <v>342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7.25" x14ac:dyDescent="0.3">
      <c r="A998" s="3" t="s">
        <v>270</v>
      </c>
      <c r="B998" s="3" t="s">
        <v>150</v>
      </c>
      <c r="C998" s="4" t="s">
        <v>344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7.25" x14ac:dyDescent="0.3">
      <c r="A999" s="22" t="s">
        <v>270</v>
      </c>
      <c r="B999" s="3" t="s">
        <v>23</v>
      </c>
      <c r="C999" s="4" t="s">
        <v>344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7.25" x14ac:dyDescent="0.3">
      <c r="A1000" s="3" t="s">
        <v>270</v>
      </c>
      <c r="B1000" s="3" t="s">
        <v>102</v>
      </c>
      <c r="C1000" s="4" t="s">
        <v>344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7.25" x14ac:dyDescent="0.3">
      <c r="A1001" s="22" t="s">
        <v>270</v>
      </c>
      <c r="B1001" s="3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7.25" x14ac:dyDescent="0.3">
      <c r="A1002" s="3" t="s">
        <v>270</v>
      </c>
      <c r="B1002" s="3" t="s">
        <v>16</v>
      </c>
      <c r="C1002" s="4" t="s">
        <v>338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7.25" x14ac:dyDescent="0.3">
      <c r="A1003" s="3" t="s">
        <v>270</v>
      </c>
      <c r="B1003" s="3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7.25" x14ac:dyDescent="0.3">
      <c r="A1004" s="22" t="s">
        <v>270</v>
      </c>
      <c r="B1004" s="3" t="s">
        <v>30</v>
      </c>
      <c r="C1004" s="4" t="s">
        <v>339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7.25" x14ac:dyDescent="0.3">
      <c r="A1005" s="22" t="s">
        <v>270</v>
      </c>
      <c r="B1005" s="3" t="s">
        <v>30</v>
      </c>
      <c r="C1005" s="4" t="s">
        <v>339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7.25" x14ac:dyDescent="0.3">
      <c r="A1006" s="22" t="s">
        <v>270</v>
      </c>
      <c r="B1006" s="3" t="s">
        <v>30</v>
      </c>
      <c r="C1006" s="4" t="s">
        <v>339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7.25" x14ac:dyDescent="0.3">
      <c r="A1007" s="22" t="s">
        <v>270</v>
      </c>
      <c r="B1007" s="3" t="s">
        <v>63</v>
      </c>
      <c r="C1007" s="4" t="s">
        <v>337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7.25" x14ac:dyDescent="0.3">
      <c r="A1008" s="3" t="s">
        <v>270</v>
      </c>
      <c r="B1008" s="3" t="s">
        <v>33</v>
      </c>
      <c r="C1008" s="4" t="s">
        <v>344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7.25" x14ac:dyDescent="0.3">
      <c r="A1009" s="22" t="s">
        <v>270</v>
      </c>
      <c r="B1009" s="3" t="s">
        <v>33</v>
      </c>
      <c r="C1009" s="4" t="s">
        <v>341</v>
      </c>
      <c r="D1009" s="4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7.25" x14ac:dyDescent="0.3">
      <c r="A1010" s="22" t="s">
        <v>270</v>
      </c>
      <c r="B1010" s="3" t="s">
        <v>95</v>
      </c>
      <c r="C1010" s="4" t="s">
        <v>344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7.25" x14ac:dyDescent="0.3">
      <c r="A1011" s="22" t="s">
        <v>271</v>
      </c>
      <c r="B1011" s="3" t="s">
        <v>24</v>
      </c>
      <c r="C1011" s="4" t="s">
        <v>341</v>
      </c>
      <c r="D1011" s="4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7.25" x14ac:dyDescent="0.3">
      <c r="A1012" s="22" t="s">
        <v>271</v>
      </c>
      <c r="B1012" s="3" t="s">
        <v>24</v>
      </c>
      <c r="C1012" s="4" t="s">
        <v>341</v>
      </c>
      <c r="D1012" s="4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7.25" x14ac:dyDescent="0.3">
      <c r="A1013" s="3" t="s">
        <v>271</v>
      </c>
      <c r="B1013" s="3" t="s">
        <v>43</v>
      </c>
      <c r="C1013" s="4" t="s">
        <v>344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7.25" x14ac:dyDescent="0.3">
      <c r="A1014" s="3" t="s">
        <v>271</v>
      </c>
      <c r="B1014" s="3" t="s">
        <v>8</v>
      </c>
      <c r="C1014" s="4" t="s">
        <v>342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7.25" x14ac:dyDescent="0.3">
      <c r="A1015" s="3" t="s">
        <v>271</v>
      </c>
      <c r="B1015" s="3" t="s">
        <v>33</v>
      </c>
      <c r="C1015" s="4" t="s">
        <v>340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7.25" x14ac:dyDescent="0.3">
      <c r="A1016" s="3" t="s">
        <v>271</v>
      </c>
      <c r="B1016" s="3" t="s">
        <v>60</v>
      </c>
      <c r="C1016" s="4" t="s">
        <v>338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7.25" x14ac:dyDescent="0.3">
      <c r="A1017" s="22" t="s">
        <v>271</v>
      </c>
      <c r="B1017" s="3" t="s">
        <v>60</v>
      </c>
      <c r="C1017" s="4" t="s">
        <v>337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7.25" x14ac:dyDescent="0.3">
      <c r="A1018" s="22" t="s">
        <v>271</v>
      </c>
      <c r="B1018" s="3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7.25" x14ac:dyDescent="0.3">
      <c r="A1019" s="22" t="s">
        <v>272</v>
      </c>
      <c r="B1019" s="3" t="s">
        <v>66</v>
      </c>
      <c r="C1019" s="4" t="s">
        <v>338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7.25" x14ac:dyDescent="0.3">
      <c r="A1020" s="3" t="s">
        <v>272</v>
      </c>
      <c r="B1020" s="3" t="s">
        <v>66</v>
      </c>
      <c r="C1020" s="4" t="s">
        <v>339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7.25" x14ac:dyDescent="0.3">
      <c r="A1021" s="3" t="s">
        <v>272</v>
      </c>
      <c r="B1021" s="3" t="s">
        <v>66</v>
      </c>
      <c r="C1021" s="4" t="s">
        <v>340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7.25" x14ac:dyDescent="0.3">
      <c r="A1022" s="22" t="s">
        <v>272</v>
      </c>
      <c r="B1022" s="3" t="s">
        <v>66</v>
      </c>
      <c r="C1022" s="4" t="s">
        <v>344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7.25" x14ac:dyDescent="0.3">
      <c r="A1023" s="3" t="s">
        <v>272</v>
      </c>
      <c r="B1023" s="3" t="s">
        <v>19</v>
      </c>
      <c r="C1023" s="4" t="s">
        <v>344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7.25" x14ac:dyDescent="0.3">
      <c r="A1024" s="22" t="s">
        <v>272</v>
      </c>
      <c r="B1024" s="3" t="s">
        <v>103</v>
      </c>
      <c r="C1024" s="4" t="s">
        <v>337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7.25" x14ac:dyDescent="0.3">
      <c r="A1025" s="22" t="s">
        <v>272</v>
      </c>
      <c r="B1025" s="3" t="s">
        <v>21</v>
      </c>
      <c r="C1025" s="4" t="s">
        <v>344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7.25" x14ac:dyDescent="0.3">
      <c r="A1026" s="3" t="s">
        <v>272</v>
      </c>
      <c r="B1026" s="3" t="s">
        <v>46</v>
      </c>
      <c r="C1026" s="4" t="s">
        <v>344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7.25" x14ac:dyDescent="0.3">
      <c r="A1027" s="22" t="s">
        <v>272</v>
      </c>
      <c r="B1027" s="3" t="s">
        <v>24</v>
      </c>
      <c r="C1027" s="4" t="s">
        <v>341</v>
      </c>
      <c r="D1027" s="4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7.25" x14ac:dyDescent="0.3">
      <c r="A1028" s="22" t="s">
        <v>272</v>
      </c>
      <c r="B1028" s="3" t="s">
        <v>24</v>
      </c>
      <c r="C1028" s="4" t="s">
        <v>341</v>
      </c>
      <c r="D1028" s="4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7.25" x14ac:dyDescent="0.3">
      <c r="A1029" s="22" t="s">
        <v>272</v>
      </c>
      <c r="B1029" s="3" t="s">
        <v>16</v>
      </c>
      <c r="C1029" s="4" t="s">
        <v>337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7.25" x14ac:dyDescent="0.3">
      <c r="A1030" s="3" t="s">
        <v>272</v>
      </c>
      <c r="B1030" s="3" t="s">
        <v>11</v>
      </c>
      <c r="C1030" s="4" t="s">
        <v>337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7.25" x14ac:dyDescent="0.3">
      <c r="A1031" s="22" t="s">
        <v>272</v>
      </c>
      <c r="B1031" s="3" t="s">
        <v>63</v>
      </c>
      <c r="C1031" s="4" t="s">
        <v>338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7.25" x14ac:dyDescent="0.3">
      <c r="A1032" s="3" t="s">
        <v>272</v>
      </c>
      <c r="B1032" s="3" t="s">
        <v>43</v>
      </c>
      <c r="C1032" s="4" t="s">
        <v>344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7.25" x14ac:dyDescent="0.3">
      <c r="A1033" s="3" t="s">
        <v>272</v>
      </c>
      <c r="B1033" s="3" t="s">
        <v>33</v>
      </c>
      <c r="C1033" s="4" t="s">
        <v>344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7.25" x14ac:dyDescent="0.3">
      <c r="A1034" s="3" t="s">
        <v>273</v>
      </c>
      <c r="B1034" s="3" t="s">
        <v>19</v>
      </c>
      <c r="C1034" s="4" t="s">
        <v>337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7.25" x14ac:dyDescent="0.3">
      <c r="A1035" s="22" t="s">
        <v>273</v>
      </c>
      <c r="B1035" s="3" t="s">
        <v>31</v>
      </c>
      <c r="C1035" s="4" t="s">
        <v>344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7.25" x14ac:dyDescent="0.3">
      <c r="A1036" s="3" t="s">
        <v>273</v>
      </c>
      <c r="B1036" s="3" t="s">
        <v>25</v>
      </c>
      <c r="C1036" s="4" t="s">
        <v>337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7.25" x14ac:dyDescent="0.3">
      <c r="A1037" s="3" t="s">
        <v>273</v>
      </c>
      <c r="B1037" s="3" t="s">
        <v>11</v>
      </c>
      <c r="C1037" s="4" t="s">
        <v>337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7.25" x14ac:dyDescent="0.3">
      <c r="A1038" s="3" t="s">
        <v>273</v>
      </c>
      <c r="B1038" s="3" t="s">
        <v>11</v>
      </c>
      <c r="C1038" s="4" t="s">
        <v>337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7.25" x14ac:dyDescent="0.3">
      <c r="A1039" s="22" t="s">
        <v>273</v>
      </c>
      <c r="B1039" s="3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7.25" x14ac:dyDescent="0.3">
      <c r="A1040" s="22" t="s">
        <v>273</v>
      </c>
      <c r="B1040" s="3" t="s">
        <v>33</v>
      </c>
      <c r="C1040" s="4" t="s">
        <v>344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7.25" x14ac:dyDescent="0.3">
      <c r="A1041" s="3" t="s">
        <v>273</v>
      </c>
      <c r="B1041" s="3" t="s">
        <v>33</v>
      </c>
      <c r="C1041" s="4" t="s">
        <v>341</v>
      </c>
      <c r="D1041" s="4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7.25" x14ac:dyDescent="0.3">
      <c r="A1042" s="3" t="s">
        <v>274</v>
      </c>
      <c r="B1042" s="3" t="s">
        <v>93</v>
      </c>
      <c r="C1042" s="4" t="s">
        <v>344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7.25" x14ac:dyDescent="0.3">
      <c r="A1043" s="22" t="s">
        <v>274</v>
      </c>
      <c r="B1043" s="3" t="s">
        <v>48</v>
      </c>
      <c r="C1043" s="4" t="s">
        <v>344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7.25" x14ac:dyDescent="0.3">
      <c r="A1044" s="3" t="s">
        <v>274</v>
      </c>
      <c r="B1044" s="3" t="s">
        <v>43</v>
      </c>
      <c r="C1044" s="4" t="s">
        <v>344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7.25" x14ac:dyDescent="0.3">
      <c r="A1045" s="3" t="s">
        <v>274</v>
      </c>
      <c r="B1045" s="3" t="s">
        <v>43</v>
      </c>
      <c r="C1045" s="4" t="s">
        <v>337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7.25" x14ac:dyDescent="0.3">
      <c r="A1046" s="3" t="s">
        <v>274</v>
      </c>
      <c r="B1046" s="3" t="s">
        <v>60</v>
      </c>
      <c r="C1046" s="4" t="s">
        <v>337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7.25" x14ac:dyDescent="0.3">
      <c r="A1047" s="3" t="s">
        <v>274</v>
      </c>
      <c r="B1047" s="3" t="s">
        <v>60</v>
      </c>
      <c r="C1047" s="4" t="s">
        <v>342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7.25" x14ac:dyDescent="0.3">
      <c r="A1048" s="3" t="s">
        <v>274</v>
      </c>
      <c r="B1048" s="3" t="s">
        <v>60</v>
      </c>
      <c r="C1048" s="4" t="s">
        <v>337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7.25" x14ac:dyDescent="0.3">
      <c r="A1049" s="3" t="s">
        <v>275</v>
      </c>
      <c r="B1049" s="3" t="s">
        <v>150</v>
      </c>
      <c r="C1049" s="4" t="s">
        <v>344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7.25" x14ac:dyDescent="0.3">
      <c r="A1050" s="3" t="s">
        <v>275</v>
      </c>
      <c r="B1050" s="3" t="s">
        <v>150</v>
      </c>
      <c r="C1050" s="4" t="s">
        <v>344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7.25" x14ac:dyDescent="0.3">
      <c r="A1051" s="3" t="s">
        <v>275</v>
      </c>
      <c r="B1051" s="3" t="s">
        <v>23</v>
      </c>
      <c r="C1051" s="4" t="s">
        <v>340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7.25" x14ac:dyDescent="0.3">
      <c r="A1052" s="3" t="s">
        <v>275</v>
      </c>
      <c r="B1052" s="3" t="s">
        <v>102</v>
      </c>
      <c r="C1052" s="4" t="s">
        <v>344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7.25" x14ac:dyDescent="0.3">
      <c r="A1053" s="22" t="s">
        <v>275</v>
      </c>
      <c r="B1053" s="3" t="s">
        <v>48</v>
      </c>
      <c r="C1053" s="4" t="s">
        <v>344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7.25" x14ac:dyDescent="0.3">
      <c r="A1054" s="22" t="s">
        <v>275</v>
      </c>
      <c r="B1054" s="3" t="s">
        <v>11</v>
      </c>
      <c r="C1054" s="4" t="s">
        <v>344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7.25" x14ac:dyDescent="0.3">
      <c r="A1055" s="3" t="s">
        <v>275</v>
      </c>
      <c r="B1055" s="3" t="s">
        <v>14</v>
      </c>
      <c r="C1055" s="4" t="s">
        <v>344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7.25" x14ac:dyDescent="0.3">
      <c r="A1056" s="3" t="s">
        <v>275</v>
      </c>
      <c r="B1056" s="3" t="s">
        <v>8</v>
      </c>
      <c r="C1056" s="4" t="s">
        <v>338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7.25" x14ac:dyDescent="0.3">
      <c r="A1057" s="3" t="s">
        <v>275</v>
      </c>
      <c r="B1057" s="3" t="s">
        <v>8</v>
      </c>
      <c r="C1057" s="4" t="s">
        <v>339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7.25" x14ac:dyDescent="0.3">
      <c r="A1058" s="3" t="s">
        <v>275</v>
      </c>
      <c r="B1058" s="3" t="s">
        <v>8</v>
      </c>
      <c r="C1058" s="4" t="s">
        <v>337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7.25" x14ac:dyDescent="0.3">
      <c r="A1059" s="3" t="s">
        <v>275</v>
      </c>
      <c r="B1059" s="3" t="s">
        <v>33</v>
      </c>
      <c r="C1059" s="4" t="s">
        <v>337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7.25" x14ac:dyDescent="0.3">
      <c r="A1060" s="3" t="s">
        <v>275</v>
      </c>
      <c r="B1060" s="3" t="s">
        <v>33</v>
      </c>
      <c r="C1060" s="4" t="s">
        <v>341</v>
      </c>
      <c r="D1060" s="4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7.25" x14ac:dyDescent="0.3">
      <c r="A1061" s="3" t="s">
        <v>275</v>
      </c>
      <c r="B1061" s="3" t="s">
        <v>33</v>
      </c>
      <c r="C1061" s="4" t="s">
        <v>341</v>
      </c>
      <c r="D1061" s="4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7.25" x14ac:dyDescent="0.3">
      <c r="A1062" s="3" t="s">
        <v>276</v>
      </c>
      <c r="B1062" s="3" t="s">
        <v>93</v>
      </c>
      <c r="C1062" s="4" t="s">
        <v>344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7.25" x14ac:dyDescent="0.3">
      <c r="A1063" s="3" t="s">
        <v>276</v>
      </c>
      <c r="B1063" s="3" t="s">
        <v>21</v>
      </c>
      <c r="C1063" s="4" t="s">
        <v>344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7.25" x14ac:dyDescent="0.3">
      <c r="A1064" s="3" t="s">
        <v>276</v>
      </c>
      <c r="B1064" s="3" t="s">
        <v>24</v>
      </c>
      <c r="C1064" s="4" t="s">
        <v>344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7.25" x14ac:dyDescent="0.3">
      <c r="A1065" s="3" t="s">
        <v>276</v>
      </c>
      <c r="B1065" s="3" t="s">
        <v>24</v>
      </c>
      <c r="C1065" s="4" t="s">
        <v>344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7.25" x14ac:dyDescent="0.3">
      <c r="A1066" s="22" t="s">
        <v>276</v>
      </c>
      <c r="B1066" s="3" t="s">
        <v>23</v>
      </c>
      <c r="C1066" s="4" t="s">
        <v>344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7.25" x14ac:dyDescent="0.3">
      <c r="A1067" s="22" t="s">
        <v>276</v>
      </c>
      <c r="B1067" s="3" t="s">
        <v>23</v>
      </c>
      <c r="C1067" s="4" t="s">
        <v>344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7.25" x14ac:dyDescent="0.3">
      <c r="A1068" s="22" t="s">
        <v>276</v>
      </c>
      <c r="B1068" s="3" t="s">
        <v>8</v>
      </c>
      <c r="C1068" s="4" t="s">
        <v>342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7.25" x14ac:dyDescent="0.3">
      <c r="A1069" s="3" t="s">
        <v>276</v>
      </c>
      <c r="B1069" s="3" t="s">
        <v>60</v>
      </c>
      <c r="C1069" s="4" t="s">
        <v>343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7.25" x14ac:dyDescent="0.3">
      <c r="A1070" s="22" t="s">
        <v>277</v>
      </c>
      <c r="B1070" s="3" t="s">
        <v>66</v>
      </c>
      <c r="C1070" s="4" t="s">
        <v>344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7.25" x14ac:dyDescent="0.3">
      <c r="A1071" s="3" t="s">
        <v>277</v>
      </c>
      <c r="B1071" s="3" t="s">
        <v>5</v>
      </c>
      <c r="C1071" s="4" t="s">
        <v>337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7.25" x14ac:dyDescent="0.3">
      <c r="A1072" s="22" t="s">
        <v>277</v>
      </c>
      <c r="B1072" s="3" t="s">
        <v>19</v>
      </c>
      <c r="C1072" s="4" t="s">
        <v>337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7.25" x14ac:dyDescent="0.3">
      <c r="A1073" s="22" t="s">
        <v>277</v>
      </c>
      <c r="B1073" s="3" t="s">
        <v>46</v>
      </c>
      <c r="C1073" s="4" t="s">
        <v>337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7.25" x14ac:dyDescent="0.3">
      <c r="A1074" s="3" t="s">
        <v>277</v>
      </c>
      <c r="B1074" s="3" t="s">
        <v>31</v>
      </c>
      <c r="C1074" s="4" t="s">
        <v>344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7.25" x14ac:dyDescent="0.3">
      <c r="A1075" s="3" t="s">
        <v>277</v>
      </c>
      <c r="B1075" s="23" t="s">
        <v>25</v>
      </c>
      <c r="C1075" s="4" t="s">
        <v>337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7.25" x14ac:dyDescent="0.3">
      <c r="A1076" s="3" t="s">
        <v>277</v>
      </c>
      <c r="B1076" s="3" t="s">
        <v>150</v>
      </c>
      <c r="C1076" s="4" t="s">
        <v>344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7.25" x14ac:dyDescent="0.3">
      <c r="A1077" s="22" t="s">
        <v>277</v>
      </c>
      <c r="B1077" s="3" t="s">
        <v>24</v>
      </c>
      <c r="C1077" s="4" t="s">
        <v>341</v>
      </c>
      <c r="D1077" s="4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7.25" x14ac:dyDescent="0.3">
      <c r="A1078" s="22" t="s">
        <v>277</v>
      </c>
      <c r="B1078" s="3" t="s">
        <v>24</v>
      </c>
      <c r="C1078" s="4" t="s">
        <v>341</v>
      </c>
      <c r="D1078" s="4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7.25" x14ac:dyDescent="0.3">
      <c r="A1079" s="22" t="s">
        <v>278</v>
      </c>
      <c r="B1079" s="3" t="s">
        <v>23</v>
      </c>
      <c r="C1079" s="4" t="s">
        <v>344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7.25" x14ac:dyDescent="0.3">
      <c r="A1080" s="3" t="s">
        <v>277</v>
      </c>
      <c r="B1080" s="3" t="s">
        <v>23</v>
      </c>
      <c r="C1080" s="4" t="s">
        <v>342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7.25" x14ac:dyDescent="0.3">
      <c r="A1081" s="3" t="s">
        <v>277</v>
      </c>
      <c r="B1081" s="3" t="s">
        <v>23</v>
      </c>
      <c r="C1081" s="4" t="s">
        <v>342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7.25" x14ac:dyDescent="0.3">
      <c r="A1082" s="3" t="s">
        <v>277</v>
      </c>
      <c r="B1082" s="3" t="s">
        <v>102</v>
      </c>
      <c r="C1082" s="4" t="s">
        <v>344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7.25" x14ac:dyDescent="0.3">
      <c r="A1083" s="22" t="s">
        <v>277</v>
      </c>
      <c r="B1083" s="3" t="s">
        <v>11</v>
      </c>
      <c r="C1083" s="4" t="s">
        <v>337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7.25" x14ac:dyDescent="0.3">
      <c r="A1084" s="3" t="s">
        <v>277</v>
      </c>
      <c r="B1084" s="3" t="s">
        <v>11</v>
      </c>
      <c r="C1084" s="4" t="s">
        <v>344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7.25" x14ac:dyDescent="0.3">
      <c r="A1085" s="22" t="s">
        <v>277</v>
      </c>
      <c r="B1085" s="3" t="s">
        <v>11</v>
      </c>
      <c r="C1085" s="4" t="s">
        <v>337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7.25" x14ac:dyDescent="0.3">
      <c r="A1086" s="22" t="s">
        <v>277</v>
      </c>
      <c r="B1086" s="3" t="s">
        <v>33</v>
      </c>
      <c r="C1086" s="4" t="s">
        <v>344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7.25" x14ac:dyDescent="0.3">
      <c r="A1087" s="3" t="s">
        <v>277</v>
      </c>
      <c r="B1087" s="3" t="s">
        <v>33</v>
      </c>
      <c r="C1087" s="4" t="s">
        <v>341</v>
      </c>
      <c r="D1087" s="4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7.25" x14ac:dyDescent="0.3">
      <c r="A1088" s="3" t="s">
        <v>277</v>
      </c>
      <c r="B1088" s="3" t="s">
        <v>33</v>
      </c>
      <c r="C1088" s="4" t="s">
        <v>341</v>
      </c>
      <c r="D1088" s="4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7.25" x14ac:dyDescent="0.3">
      <c r="A1089" s="3" t="s">
        <v>279</v>
      </c>
      <c r="B1089" s="3" t="s">
        <v>69</v>
      </c>
      <c r="C1089" s="4" t="s">
        <v>342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7.25" x14ac:dyDescent="0.3">
      <c r="A1090" s="22" t="s">
        <v>279</v>
      </c>
      <c r="B1090" s="3" t="s">
        <v>69</v>
      </c>
      <c r="C1090" s="4" t="s">
        <v>344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7.25" x14ac:dyDescent="0.3">
      <c r="A1091" s="3" t="s">
        <v>279</v>
      </c>
      <c r="B1091" s="3" t="s">
        <v>25</v>
      </c>
      <c r="C1091" s="4" t="s">
        <v>344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7.25" x14ac:dyDescent="0.3">
      <c r="A1092" s="3" t="s">
        <v>279</v>
      </c>
      <c r="B1092" s="3" t="s">
        <v>23</v>
      </c>
      <c r="C1092" s="4" t="s">
        <v>342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7.25" x14ac:dyDescent="0.3">
      <c r="A1093" s="3" t="s">
        <v>279</v>
      </c>
      <c r="B1093" s="3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7.25" x14ac:dyDescent="0.3">
      <c r="A1094" s="3" t="s">
        <v>279</v>
      </c>
      <c r="B1094" s="3" t="s">
        <v>16</v>
      </c>
      <c r="C1094" s="4" t="s">
        <v>338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7.25" x14ac:dyDescent="0.3">
      <c r="A1095" s="22" t="s">
        <v>279</v>
      </c>
      <c r="B1095" s="3" t="s">
        <v>16</v>
      </c>
      <c r="C1095" s="4" t="s">
        <v>339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7.25" x14ac:dyDescent="0.3">
      <c r="A1096" s="22" t="s">
        <v>279</v>
      </c>
      <c r="B1096" s="3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7.25" x14ac:dyDescent="0.3">
      <c r="A1097" s="3" t="s">
        <v>279</v>
      </c>
      <c r="B1097" s="3" t="s">
        <v>8</v>
      </c>
      <c r="C1097" s="4" t="s">
        <v>344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7.25" x14ac:dyDescent="0.3">
      <c r="A1098" s="3" t="s">
        <v>279</v>
      </c>
      <c r="B1098" s="3" t="s">
        <v>33</v>
      </c>
      <c r="C1098" s="4" t="s">
        <v>342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7.25" x14ac:dyDescent="0.3">
      <c r="A1099" s="3" t="s">
        <v>279</v>
      </c>
      <c r="B1099" s="3" t="s">
        <v>33</v>
      </c>
      <c r="C1099" s="4" t="s">
        <v>341</v>
      </c>
      <c r="D1099" s="4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7.25" x14ac:dyDescent="0.3">
      <c r="A1100" s="22" t="s">
        <v>279</v>
      </c>
      <c r="B1100" s="3" t="s">
        <v>95</v>
      </c>
      <c r="C1100" s="4" t="s">
        <v>344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7.25" x14ac:dyDescent="0.3">
      <c r="A1101" s="3" t="s">
        <v>279</v>
      </c>
      <c r="B1101" s="3" t="s">
        <v>18</v>
      </c>
      <c r="C1101" s="4" t="s">
        <v>337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7.25" x14ac:dyDescent="0.3">
      <c r="A1102" s="22" t="s">
        <v>280</v>
      </c>
      <c r="B1102" s="3" t="s">
        <v>99</v>
      </c>
      <c r="C1102" s="4" t="s">
        <v>338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7.25" x14ac:dyDescent="0.3">
      <c r="A1103" s="3" t="s">
        <v>280</v>
      </c>
      <c r="B1103" s="3" t="s">
        <v>24</v>
      </c>
      <c r="C1103" s="4" t="s">
        <v>341</v>
      </c>
      <c r="D1103" s="4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7.25" x14ac:dyDescent="0.3">
      <c r="A1104" s="22" t="s">
        <v>280</v>
      </c>
      <c r="B1104" s="3" t="s">
        <v>24</v>
      </c>
      <c r="C1104" s="4" t="s">
        <v>341</v>
      </c>
      <c r="D1104" s="4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7.25" x14ac:dyDescent="0.3">
      <c r="A1105" s="3" t="s">
        <v>280</v>
      </c>
      <c r="B1105" s="3" t="s">
        <v>24</v>
      </c>
      <c r="C1105" s="4" t="s">
        <v>344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7.25" x14ac:dyDescent="0.3">
      <c r="A1106" s="22" t="s">
        <v>280</v>
      </c>
      <c r="B1106" s="3" t="s">
        <v>24</v>
      </c>
      <c r="C1106" s="4" t="s">
        <v>341</v>
      </c>
      <c r="D1106" s="4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7.25" x14ac:dyDescent="0.3">
      <c r="A1107" s="3" t="s">
        <v>280</v>
      </c>
      <c r="B1107" s="3" t="s">
        <v>43</v>
      </c>
      <c r="C1107" s="4" t="s">
        <v>344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7.25" x14ac:dyDescent="0.3">
      <c r="A1108" s="3" t="s">
        <v>280</v>
      </c>
      <c r="B1108" s="3" t="s">
        <v>60</v>
      </c>
      <c r="C1108" s="4" t="s">
        <v>337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7.25" x14ac:dyDescent="0.3">
      <c r="A1109" s="22" t="s">
        <v>281</v>
      </c>
      <c r="B1109" s="3" t="s">
        <v>19</v>
      </c>
      <c r="C1109" s="4" t="s">
        <v>344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7.25" x14ac:dyDescent="0.3">
      <c r="A1110" s="22" t="s">
        <v>281</v>
      </c>
      <c r="B1110" s="3" t="s">
        <v>19</v>
      </c>
      <c r="C1110" s="4" t="s">
        <v>344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7.25" x14ac:dyDescent="0.3">
      <c r="A1111" s="3" t="s">
        <v>281</v>
      </c>
      <c r="B1111" s="3" t="s">
        <v>46</v>
      </c>
      <c r="C1111" s="4" t="s">
        <v>344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7.25" x14ac:dyDescent="0.3">
      <c r="A1112" s="22" t="s">
        <v>281</v>
      </c>
      <c r="B1112" s="3" t="s">
        <v>69</v>
      </c>
      <c r="C1112" s="4" t="s">
        <v>342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7.25" x14ac:dyDescent="0.3">
      <c r="A1113" s="3" t="s">
        <v>281</v>
      </c>
      <c r="B1113" s="3" t="s">
        <v>69</v>
      </c>
      <c r="C1113" s="4" t="s">
        <v>337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7.25" x14ac:dyDescent="0.3">
      <c r="A1114" s="3" t="s">
        <v>281</v>
      </c>
      <c r="B1114" s="3" t="s">
        <v>75</v>
      </c>
      <c r="C1114" s="4" t="s">
        <v>343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7.25" x14ac:dyDescent="0.3">
      <c r="A1115" s="22" t="s">
        <v>281</v>
      </c>
      <c r="B1115" s="3" t="s">
        <v>63</v>
      </c>
      <c r="C1115" s="4" t="s">
        <v>344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7.25" x14ac:dyDescent="0.3">
      <c r="A1116" s="3" t="s">
        <v>281</v>
      </c>
      <c r="B1116" s="3" t="s">
        <v>33</v>
      </c>
      <c r="C1116" s="4" t="s">
        <v>342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7.25" x14ac:dyDescent="0.3">
      <c r="A1117" s="22" t="s">
        <v>281</v>
      </c>
      <c r="B1117" s="3" t="s">
        <v>33</v>
      </c>
      <c r="C1117" s="4" t="s">
        <v>341</v>
      </c>
      <c r="D1117" s="4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7.25" x14ac:dyDescent="0.3">
      <c r="A1118" s="3" t="s">
        <v>281</v>
      </c>
      <c r="B1118" s="3" t="s">
        <v>33</v>
      </c>
      <c r="C1118" s="4" t="s">
        <v>341</v>
      </c>
      <c r="D1118" s="4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7.25" x14ac:dyDescent="0.3">
      <c r="A1119" s="3" t="s">
        <v>282</v>
      </c>
      <c r="B1119" s="3" t="s">
        <v>24</v>
      </c>
      <c r="C1119" s="4" t="s">
        <v>341</v>
      </c>
      <c r="D1119" s="4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7.25" x14ac:dyDescent="0.3">
      <c r="A1120" s="22" t="s">
        <v>282</v>
      </c>
      <c r="B1120" s="3" t="s">
        <v>24</v>
      </c>
      <c r="C1120" s="4" t="s">
        <v>344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7.25" x14ac:dyDescent="0.3">
      <c r="A1121" s="3" t="s">
        <v>282</v>
      </c>
      <c r="B1121" s="3" t="s">
        <v>24</v>
      </c>
      <c r="C1121" s="4" t="s">
        <v>341</v>
      </c>
      <c r="D1121" s="4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7.25" x14ac:dyDescent="0.3">
      <c r="A1122" s="3" t="s">
        <v>282</v>
      </c>
      <c r="B1122" s="3" t="s">
        <v>23</v>
      </c>
      <c r="C1122" s="4" t="s">
        <v>342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7.25" x14ac:dyDescent="0.3">
      <c r="A1123" s="3" t="s">
        <v>282</v>
      </c>
      <c r="B1123" s="3" t="s">
        <v>23</v>
      </c>
      <c r="C1123" s="4" t="s">
        <v>344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7.25" x14ac:dyDescent="0.3">
      <c r="A1124" s="3" t="s">
        <v>282</v>
      </c>
      <c r="B1124" s="3" t="s">
        <v>23</v>
      </c>
      <c r="C1124" s="4" t="s">
        <v>342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7.25" x14ac:dyDescent="0.3">
      <c r="A1125" s="3" t="s">
        <v>282</v>
      </c>
      <c r="B1125" s="3" t="s">
        <v>23</v>
      </c>
      <c r="C1125" s="4" t="s">
        <v>344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7.25" x14ac:dyDescent="0.3">
      <c r="A1126" s="3" t="s">
        <v>282</v>
      </c>
      <c r="B1126" s="3" t="s">
        <v>43</v>
      </c>
      <c r="C1126" s="4" t="s">
        <v>344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7.25" x14ac:dyDescent="0.3">
      <c r="A1127" s="3" t="s">
        <v>282</v>
      </c>
      <c r="B1127" s="3" t="s">
        <v>60</v>
      </c>
      <c r="C1127" s="4" t="s">
        <v>338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7.25" x14ac:dyDescent="0.3">
      <c r="A1128" s="22" t="s">
        <v>283</v>
      </c>
      <c r="B1128" s="3" t="s">
        <v>66</v>
      </c>
      <c r="C1128" s="4" t="s">
        <v>338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7.25" x14ac:dyDescent="0.3">
      <c r="A1129" s="22" t="s">
        <v>283</v>
      </c>
      <c r="B1129" s="3" t="s">
        <v>66</v>
      </c>
      <c r="C1129" s="4" t="s">
        <v>344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7.25" x14ac:dyDescent="0.3">
      <c r="A1130" s="3" t="s">
        <v>283</v>
      </c>
      <c r="B1130" s="3" t="s">
        <v>21</v>
      </c>
      <c r="C1130" s="4" t="s">
        <v>339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7.25" x14ac:dyDescent="0.3">
      <c r="A1131" s="3" t="s">
        <v>283</v>
      </c>
      <c r="B1131" s="3" t="s">
        <v>69</v>
      </c>
      <c r="C1131" s="4" t="s">
        <v>337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7.25" x14ac:dyDescent="0.3">
      <c r="A1132" s="3" t="s">
        <v>283</v>
      </c>
      <c r="B1132" s="3" t="s">
        <v>24</v>
      </c>
      <c r="C1132" s="4" t="s">
        <v>341</v>
      </c>
      <c r="D1132" s="4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7.25" x14ac:dyDescent="0.3">
      <c r="A1133" s="22" t="s">
        <v>283</v>
      </c>
      <c r="B1133" s="3" t="s">
        <v>24</v>
      </c>
      <c r="C1133" s="4" t="s">
        <v>341</v>
      </c>
      <c r="D1133" s="4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7.25" x14ac:dyDescent="0.3">
      <c r="A1134" s="22" t="s">
        <v>283</v>
      </c>
      <c r="B1134" s="3" t="s">
        <v>24</v>
      </c>
      <c r="C1134" s="4" t="s">
        <v>341</v>
      </c>
      <c r="D1134" s="4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7.25" x14ac:dyDescent="0.3">
      <c r="A1135" s="22" t="s">
        <v>283</v>
      </c>
      <c r="B1135" s="3" t="s">
        <v>23</v>
      </c>
      <c r="C1135" s="4" t="s">
        <v>342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7.25" x14ac:dyDescent="0.3">
      <c r="A1136" s="3" t="s">
        <v>284</v>
      </c>
      <c r="B1136" s="3" t="s">
        <v>23</v>
      </c>
      <c r="C1136" s="4" t="s">
        <v>344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7.25" x14ac:dyDescent="0.3">
      <c r="A1137" s="22" t="s">
        <v>283</v>
      </c>
      <c r="B1137" s="3" t="s">
        <v>23</v>
      </c>
      <c r="C1137" s="4" t="s">
        <v>342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7.25" x14ac:dyDescent="0.3">
      <c r="A1138" s="22" t="s">
        <v>283</v>
      </c>
      <c r="B1138" s="3" t="s">
        <v>23</v>
      </c>
      <c r="C1138" s="4" t="s">
        <v>342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7.25" x14ac:dyDescent="0.3">
      <c r="A1139" s="3" t="s">
        <v>283</v>
      </c>
      <c r="B1139" s="3" t="s">
        <v>102</v>
      </c>
      <c r="C1139" s="4" t="s">
        <v>344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7.25" x14ac:dyDescent="0.3">
      <c r="A1140" s="22" t="s">
        <v>283</v>
      </c>
      <c r="B1140" s="3" t="s">
        <v>29</v>
      </c>
      <c r="C1140" s="4" t="s">
        <v>344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7.25" x14ac:dyDescent="0.3">
      <c r="A1141" s="3" t="s">
        <v>283</v>
      </c>
      <c r="B1141" s="3" t="s">
        <v>11</v>
      </c>
      <c r="C1141" s="4" t="s">
        <v>339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7.25" x14ac:dyDescent="0.3">
      <c r="A1142" s="22" t="s">
        <v>283</v>
      </c>
      <c r="B1142" s="3" t="s">
        <v>27</v>
      </c>
      <c r="C1142" s="4" t="s">
        <v>344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7.25" x14ac:dyDescent="0.3">
      <c r="A1143" s="22" t="s">
        <v>283</v>
      </c>
      <c r="B1143" s="3" t="s">
        <v>63</v>
      </c>
      <c r="C1143" s="4" t="s">
        <v>338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7.25" x14ac:dyDescent="0.3">
      <c r="A1144" s="3" t="s">
        <v>283</v>
      </c>
      <c r="B1144" s="3" t="s">
        <v>43</v>
      </c>
      <c r="C1144" s="4" t="s">
        <v>344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7.25" x14ac:dyDescent="0.3">
      <c r="A1145" s="22" t="s">
        <v>283</v>
      </c>
      <c r="B1145" s="3" t="s">
        <v>43</v>
      </c>
      <c r="C1145" s="4" t="s">
        <v>338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7.25" x14ac:dyDescent="0.3">
      <c r="A1146" s="22" t="s">
        <v>283</v>
      </c>
      <c r="B1146" s="3" t="s">
        <v>14</v>
      </c>
      <c r="C1146" s="4" t="s">
        <v>344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7.25" x14ac:dyDescent="0.3">
      <c r="A1147" s="3" t="s">
        <v>283</v>
      </c>
      <c r="B1147" s="3" t="s">
        <v>33</v>
      </c>
      <c r="C1147" s="4" t="s">
        <v>344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7.25" x14ac:dyDescent="0.3">
      <c r="A1148" s="22" t="s">
        <v>283</v>
      </c>
      <c r="B1148" s="3" t="s">
        <v>33</v>
      </c>
      <c r="C1148" s="4" t="s">
        <v>341</v>
      </c>
      <c r="D1148" s="4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7.25" x14ac:dyDescent="0.3">
      <c r="A1149" s="22" t="s">
        <v>283</v>
      </c>
      <c r="B1149" s="3" t="s">
        <v>33</v>
      </c>
      <c r="C1149" s="4" t="s">
        <v>341</v>
      </c>
      <c r="D1149" s="4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7.25" x14ac:dyDescent="0.3">
      <c r="A1150" s="3" t="s">
        <v>285</v>
      </c>
      <c r="B1150" s="3" t="s">
        <v>19</v>
      </c>
      <c r="C1150" s="4" t="s">
        <v>337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7.25" x14ac:dyDescent="0.3">
      <c r="A1151" s="3" t="s">
        <v>285</v>
      </c>
      <c r="B1151" s="3" t="s">
        <v>103</v>
      </c>
      <c r="C1151" s="4" t="s">
        <v>338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7.25" x14ac:dyDescent="0.3">
      <c r="A1152" s="3" t="s">
        <v>285</v>
      </c>
      <c r="B1152" s="3" t="s">
        <v>46</v>
      </c>
      <c r="C1152" s="4" t="s">
        <v>342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7.25" x14ac:dyDescent="0.3">
      <c r="A1153" s="3" t="s">
        <v>285</v>
      </c>
      <c r="B1153" s="3" t="s">
        <v>25</v>
      </c>
      <c r="C1153" s="4" t="s">
        <v>344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7.25" x14ac:dyDescent="0.3">
      <c r="A1154" s="3" t="s">
        <v>285</v>
      </c>
      <c r="B1154" s="3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7.25" x14ac:dyDescent="0.3">
      <c r="A1155" s="3" t="s">
        <v>285</v>
      </c>
      <c r="B1155" s="3" t="s">
        <v>23</v>
      </c>
      <c r="C1155" s="4" t="s">
        <v>342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7.25" x14ac:dyDescent="0.3">
      <c r="A1156" s="3" t="s">
        <v>285</v>
      </c>
      <c r="B1156" s="3" t="s">
        <v>63</v>
      </c>
      <c r="C1156" s="4" t="s">
        <v>342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7.25" x14ac:dyDescent="0.3">
      <c r="A1157" s="22" t="s">
        <v>285</v>
      </c>
      <c r="B1157" s="3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7.25" x14ac:dyDescent="0.3">
      <c r="A1158" s="3" t="s">
        <v>285</v>
      </c>
      <c r="B1158" s="3" t="s">
        <v>14</v>
      </c>
      <c r="C1158" s="4" t="s">
        <v>337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7.25" x14ac:dyDescent="0.3">
      <c r="A1159" s="3" t="s">
        <v>285</v>
      </c>
      <c r="B1159" s="3" t="s">
        <v>33</v>
      </c>
      <c r="C1159" s="4" t="s">
        <v>344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7.25" x14ac:dyDescent="0.3">
      <c r="A1160" s="22" t="s">
        <v>285</v>
      </c>
      <c r="B1160" s="3" t="s">
        <v>33</v>
      </c>
      <c r="C1160" s="4" t="s">
        <v>341</v>
      </c>
      <c r="D1160" s="4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7.25" x14ac:dyDescent="0.3">
      <c r="A1161" s="3" t="s">
        <v>285</v>
      </c>
      <c r="B1161" s="3" t="s">
        <v>51</v>
      </c>
      <c r="C1161" s="4" t="s">
        <v>337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7.25" x14ac:dyDescent="0.3">
      <c r="A1162" s="3" t="s">
        <v>286</v>
      </c>
      <c r="B1162" s="3" t="s">
        <v>21</v>
      </c>
      <c r="C1162" s="4" t="s">
        <v>344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7.25" x14ac:dyDescent="0.3">
      <c r="A1163" s="3" t="s">
        <v>286</v>
      </c>
      <c r="B1163" s="3" t="s">
        <v>31</v>
      </c>
      <c r="C1163" s="4" t="s">
        <v>342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7.25" x14ac:dyDescent="0.3">
      <c r="A1164" s="3" t="s">
        <v>286</v>
      </c>
      <c r="B1164" s="3" t="s">
        <v>24</v>
      </c>
      <c r="C1164" s="4" t="s">
        <v>341</v>
      </c>
      <c r="D1164" s="4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7.25" x14ac:dyDescent="0.3">
      <c r="A1165" s="22" t="s">
        <v>286</v>
      </c>
      <c r="B1165" s="3" t="s">
        <v>24</v>
      </c>
      <c r="C1165" s="4" t="s">
        <v>341</v>
      </c>
      <c r="D1165" s="4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7.25" x14ac:dyDescent="0.3">
      <c r="A1166" s="22" t="s">
        <v>286</v>
      </c>
      <c r="B1166" s="3" t="s">
        <v>24</v>
      </c>
      <c r="C1166" s="4" t="s">
        <v>341</v>
      </c>
      <c r="D1166" s="4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7.25" x14ac:dyDescent="0.3">
      <c r="A1167" s="22" t="s">
        <v>286</v>
      </c>
      <c r="B1167" s="3" t="s">
        <v>48</v>
      </c>
      <c r="C1167" s="4" t="s">
        <v>342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7.25" x14ac:dyDescent="0.3">
      <c r="A1168" s="22" t="s">
        <v>286</v>
      </c>
      <c r="B1168" s="3" t="s">
        <v>29</v>
      </c>
      <c r="C1168" s="4" t="s">
        <v>339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7.25" x14ac:dyDescent="0.3">
      <c r="A1169" s="3" t="s">
        <v>286</v>
      </c>
      <c r="B1169" s="3" t="s">
        <v>30</v>
      </c>
      <c r="C1169" s="4" t="s">
        <v>343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7.25" x14ac:dyDescent="0.3">
      <c r="A1170" s="22" t="s">
        <v>287</v>
      </c>
      <c r="B1170" s="3" t="s">
        <v>21</v>
      </c>
      <c r="C1170" s="4" t="s">
        <v>339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7.25" x14ac:dyDescent="0.3">
      <c r="A1171" s="3" t="s">
        <v>287</v>
      </c>
      <c r="B1171" s="3" t="s">
        <v>69</v>
      </c>
      <c r="C1171" s="4" t="s">
        <v>337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7.25" x14ac:dyDescent="0.3">
      <c r="A1172" s="3" t="s">
        <v>287</v>
      </c>
      <c r="B1172" s="3" t="s">
        <v>25</v>
      </c>
      <c r="C1172" s="4" t="s">
        <v>344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7.25" x14ac:dyDescent="0.3">
      <c r="A1173" s="22" t="s">
        <v>287</v>
      </c>
      <c r="B1173" s="3" t="s">
        <v>48</v>
      </c>
      <c r="C1173" s="4" t="s">
        <v>342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7.25" x14ac:dyDescent="0.3">
      <c r="A1174" s="3" t="s">
        <v>287</v>
      </c>
      <c r="B1174" s="3" t="s">
        <v>29</v>
      </c>
      <c r="C1174" s="4" t="s">
        <v>344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7.25" x14ac:dyDescent="0.3">
      <c r="A1175" s="22" t="s">
        <v>287</v>
      </c>
      <c r="B1175" s="3" t="s">
        <v>27</v>
      </c>
      <c r="C1175" s="4" t="s">
        <v>344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7.25" x14ac:dyDescent="0.3">
      <c r="A1176" s="3" t="s">
        <v>287</v>
      </c>
      <c r="B1176" s="3" t="s">
        <v>8</v>
      </c>
      <c r="C1176" s="4" t="s">
        <v>338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7.25" x14ac:dyDescent="0.3">
      <c r="A1177" s="3" t="s">
        <v>287</v>
      </c>
      <c r="B1177" s="3" t="s">
        <v>33</v>
      </c>
      <c r="C1177" s="4" t="s">
        <v>341</v>
      </c>
      <c r="D1177" s="4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7.25" x14ac:dyDescent="0.3">
      <c r="A1178" s="3" t="s">
        <v>288</v>
      </c>
      <c r="B1178" s="3" t="s">
        <v>93</v>
      </c>
      <c r="C1178" s="4" t="s">
        <v>344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7.25" x14ac:dyDescent="0.3">
      <c r="A1179" s="22" t="s">
        <v>288</v>
      </c>
      <c r="B1179" s="3" t="s">
        <v>66</v>
      </c>
      <c r="C1179" s="4" t="s">
        <v>338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7.25" x14ac:dyDescent="0.3">
      <c r="A1180" s="22" t="s">
        <v>288</v>
      </c>
      <c r="B1180" s="3" t="s">
        <v>66</v>
      </c>
      <c r="C1180" s="4" t="s">
        <v>344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43" si="19">E1180*F1180</f>
        <v>674181.81818181812</v>
      </c>
    </row>
    <row r="1181" spans="1:7" ht="17.25" x14ac:dyDescent="0.3">
      <c r="A1181" s="3" t="s">
        <v>288</v>
      </c>
      <c r="B1181" s="3" t="s">
        <v>24</v>
      </c>
      <c r="C1181" s="4" t="s">
        <v>341</v>
      </c>
      <c r="D1181" s="4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7.25" x14ac:dyDescent="0.3">
      <c r="A1182" s="3" t="s">
        <v>288</v>
      </c>
      <c r="B1182" s="3" t="s">
        <v>24</v>
      </c>
      <c r="C1182" s="4" t="s">
        <v>341</v>
      </c>
      <c r="D1182" s="4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7.25" x14ac:dyDescent="0.3">
      <c r="A1183" s="22" t="s">
        <v>288</v>
      </c>
      <c r="B1183" s="3" t="s">
        <v>24</v>
      </c>
      <c r="C1183" s="4" t="s">
        <v>344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7.25" x14ac:dyDescent="0.3">
      <c r="A1184" s="3" t="s">
        <v>288</v>
      </c>
      <c r="B1184" s="3" t="s">
        <v>75</v>
      </c>
      <c r="C1184" s="4" t="s">
        <v>337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7.25" x14ac:dyDescent="0.3">
      <c r="A1185" s="22" t="s">
        <v>288</v>
      </c>
      <c r="B1185" s="3" t="s">
        <v>75</v>
      </c>
      <c r="C1185" s="4" t="s">
        <v>344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7.25" x14ac:dyDescent="0.3">
      <c r="A1186" s="3" t="s">
        <v>288</v>
      </c>
      <c r="B1186" s="3" t="s">
        <v>48</v>
      </c>
      <c r="C1186" s="4" t="s">
        <v>337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7.25" x14ac:dyDescent="0.3">
      <c r="A1187" s="22" t="s">
        <v>288</v>
      </c>
      <c r="B1187" s="3" t="s">
        <v>43</v>
      </c>
      <c r="C1187" s="4" t="s">
        <v>339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7.25" x14ac:dyDescent="0.3">
      <c r="A1188" s="22" t="s">
        <v>288</v>
      </c>
      <c r="B1188" s="3" t="s">
        <v>43</v>
      </c>
      <c r="C1188" s="4" t="s">
        <v>337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7.25" x14ac:dyDescent="0.3">
      <c r="A1189" s="3" t="s">
        <v>288</v>
      </c>
      <c r="B1189" s="3" t="s">
        <v>60</v>
      </c>
      <c r="C1189" s="4" t="s">
        <v>338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7.25" x14ac:dyDescent="0.3">
      <c r="A1190" s="3" t="s">
        <v>288</v>
      </c>
      <c r="B1190" s="3" t="s">
        <v>60</v>
      </c>
      <c r="C1190" s="4" t="s">
        <v>337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7.25" x14ac:dyDescent="0.3">
      <c r="A1191" s="22" t="s">
        <v>289</v>
      </c>
      <c r="B1191" s="3" t="s">
        <v>150</v>
      </c>
      <c r="C1191" s="4" t="s">
        <v>344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7.25" x14ac:dyDescent="0.3">
      <c r="A1192" s="22" t="s">
        <v>289</v>
      </c>
      <c r="B1192" s="3" t="s">
        <v>24</v>
      </c>
      <c r="C1192" s="4" t="s">
        <v>338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7.25" x14ac:dyDescent="0.3">
      <c r="A1193" s="3" t="s">
        <v>289</v>
      </c>
      <c r="B1193" s="3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7.25" x14ac:dyDescent="0.3">
      <c r="A1194" s="22" t="s">
        <v>289</v>
      </c>
      <c r="B1194" s="3" t="s">
        <v>23</v>
      </c>
      <c r="C1194" s="4" t="s">
        <v>342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7.25" x14ac:dyDescent="0.3">
      <c r="A1195" s="22" t="s">
        <v>289</v>
      </c>
      <c r="B1195" s="3" t="s">
        <v>23</v>
      </c>
      <c r="C1195" s="4" t="s">
        <v>342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7.25" x14ac:dyDescent="0.3">
      <c r="A1196" s="22" t="s">
        <v>289</v>
      </c>
      <c r="B1196" s="3" t="s">
        <v>24</v>
      </c>
      <c r="C1196" s="4" t="s">
        <v>338</v>
      </c>
      <c r="D1196" s="4" t="s">
        <v>36</v>
      </c>
      <c r="E1196" s="7">
        <v>278</v>
      </c>
      <c r="F1196" s="5">
        <f>IFERROR(VLOOKUP(D1196, Sheet2!$A:$C, 3, FALSE), 0)</f>
        <v>7899.9999999999991</v>
      </c>
      <c r="G1196" s="6">
        <f t="shared" si="19"/>
        <v>2196199.9999999995</v>
      </c>
    </row>
    <row r="1197" spans="1:7" ht="17.25" x14ac:dyDescent="0.3">
      <c r="A1197" s="3" t="s">
        <v>289</v>
      </c>
      <c r="B1197" s="3" t="s">
        <v>24</v>
      </c>
      <c r="C1197" s="4" t="s">
        <v>215</v>
      </c>
      <c r="D1197" s="4" t="s">
        <v>264</v>
      </c>
      <c r="E1197" s="7">
        <v>431</v>
      </c>
      <c r="F1197" s="5">
        <f>IFERROR(VLOOKUP(D1197, Sheet2!$A:$C, 3, FALSE), 0)</f>
        <v>4454.545454545454</v>
      </c>
      <c r="G1197" s="6">
        <f t="shared" si="19"/>
        <v>1919909.0909090906</v>
      </c>
    </row>
    <row r="1198" spans="1:7" ht="17.25" x14ac:dyDescent="0.3">
      <c r="A1198" s="22" t="s">
        <v>289</v>
      </c>
      <c r="B1198" s="3" t="s">
        <v>23</v>
      </c>
      <c r="C1198" s="4" t="s">
        <v>342</v>
      </c>
      <c r="D1198" s="4" t="s">
        <v>61</v>
      </c>
      <c r="E1198" s="7">
        <v>71</v>
      </c>
      <c r="F1198" s="5">
        <f>IFERROR(VLOOKUP(D1198, Sheet2!$A:$C, 3, FALSE), 0)</f>
        <v>7363.6363636363631</v>
      </c>
      <c r="G1198" s="6">
        <f t="shared" si="19"/>
        <v>522818.18181818177</v>
      </c>
    </row>
    <row r="1199" spans="1:7" ht="17.25" x14ac:dyDescent="0.3">
      <c r="A1199" s="22" t="s">
        <v>289</v>
      </c>
      <c r="B1199" s="3" t="s">
        <v>23</v>
      </c>
      <c r="C1199" s="4" t="s">
        <v>342</v>
      </c>
      <c r="D1199" s="4" t="s">
        <v>61</v>
      </c>
      <c r="E1199" s="7">
        <v>66</v>
      </c>
      <c r="F1199" s="5">
        <f>IFERROR(VLOOKUP(D1199, Sheet2!$A:$C, 3, FALSE), 0)</f>
        <v>7363.6363636363631</v>
      </c>
      <c r="G1199" s="6">
        <f t="shared" si="19"/>
        <v>485999.99999999994</v>
      </c>
    </row>
    <row r="1200" spans="1:7" ht="17.25" x14ac:dyDescent="0.3">
      <c r="A1200" s="3" t="s">
        <v>289</v>
      </c>
      <c r="B1200" s="3" t="s">
        <v>48</v>
      </c>
      <c r="C1200" s="4" t="s">
        <v>337</v>
      </c>
      <c r="D1200" s="4" t="s">
        <v>113</v>
      </c>
      <c r="E1200" s="7">
        <v>1130</v>
      </c>
      <c r="F1200" s="5">
        <f>IFERROR(VLOOKUP(D1200, Sheet2!$A:$C, 3, FALSE), 0)</f>
        <v>20727.272727272724</v>
      </c>
      <c r="G1200" s="6">
        <f t="shared" si="19"/>
        <v>23421818.18181818</v>
      </c>
    </row>
    <row r="1201" spans="1:7" ht="17.25" x14ac:dyDescent="0.3">
      <c r="A1201" s="22" t="s">
        <v>289</v>
      </c>
      <c r="B1201" s="3" t="s">
        <v>29</v>
      </c>
      <c r="C1201" s="4" t="s">
        <v>215</v>
      </c>
      <c r="D1201" s="11" t="s">
        <v>143</v>
      </c>
      <c r="E1201" s="7">
        <v>443</v>
      </c>
      <c r="F1201" s="5">
        <f>IFERROR(VLOOKUP(D1201, Sheet2!$A:$C, 3, FALSE), 0)</f>
        <v>15454.545454545454</v>
      </c>
      <c r="G1201" s="6">
        <f t="shared" si="19"/>
        <v>6846363.6363636358</v>
      </c>
    </row>
    <row r="1202" spans="1:7" ht="17.25" x14ac:dyDescent="0.3">
      <c r="A1202" s="3" t="s">
        <v>289</v>
      </c>
      <c r="B1202" s="3" t="s">
        <v>16</v>
      </c>
      <c r="C1202" s="4" t="s">
        <v>216</v>
      </c>
      <c r="D1202" s="3" t="s">
        <v>37</v>
      </c>
      <c r="E1202" s="7">
        <v>834</v>
      </c>
      <c r="F1202" s="5">
        <f>IFERROR(VLOOKUP(D1202, Sheet2!$A:$C, 3, FALSE), 0)</f>
        <v>6799.9999999999991</v>
      </c>
      <c r="G1202" s="6">
        <f t="shared" si="19"/>
        <v>5671199.9999999991</v>
      </c>
    </row>
    <row r="1203" spans="1:7" ht="17.25" x14ac:dyDescent="0.3">
      <c r="A1203" s="3" t="s">
        <v>289</v>
      </c>
      <c r="B1203" s="3" t="s">
        <v>11</v>
      </c>
      <c r="C1203" s="4" t="s">
        <v>344</v>
      </c>
      <c r="D1203" s="4" t="s">
        <v>15</v>
      </c>
      <c r="E1203" s="7">
        <v>301</v>
      </c>
      <c r="F1203" s="5">
        <f>IFERROR(VLOOKUP(D1203, Sheet2!$A:$C, 3, FALSE), 0)</f>
        <v>3863.6363636363635</v>
      </c>
      <c r="G1203" s="6">
        <f t="shared" si="19"/>
        <v>1162954.5454545454</v>
      </c>
    </row>
    <row r="1204" spans="1:7" ht="17.25" x14ac:dyDescent="0.3">
      <c r="A1204" s="22" t="s">
        <v>289</v>
      </c>
      <c r="B1204" s="3" t="s">
        <v>27</v>
      </c>
      <c r="C1204" s="4" t="s">
        <v>215</v>
      </c>
      <c r="D1204" s="3" t="s">
        <v>143</v>
      </c>
      <c r="E1204" s="7">
        <v>540</v>
      </c>
      <c r="F1204" s="5">
        <f>IFERROR(VLOOKUP(D1204, Sheet2!$A:$C, 3, FALSE), 0)</f>
        <v>15454.545454545454</v>
      </c>
      <c r="G1204" s="6">
        <f t="shared" si="19"/>
        <v>8345454.5454545449</v>
      </c>
    </row>
    <row r="1205" spans="1:7" ht="17.25" x14ac:dyDescent="0.3">
      <c r="A1205" s="3" t="s">
        <v>289</v>
      </c>
      <c r="B1205" s="3" t="s">
        <v>30</v>
      </c>
      <c r="C1205" s="4" t="s">
        <v>339</v>
      </c>
      <c r="D1205" s="4" t="s">
        <v>67</v>
      </c>
      <c r="E1205" s="7">
        <v>644</v>
      </c>
      <c r="F1205" s="5">
        <f>IFERROR(VLOOKUP(D1205, Sheet2!$A:$C, 3, FALSE), 0)</f>
        <v>10818.181818181818</v>
      </c>
      <c r="G1205" s="6">
        <f t="shared" si="19"/>
        <v>6966909.0909090908</v>
      </c>
    </row>
    <row r="1206" spans="1:7" ht="17.25" x14ac:dyDescent="0.3">
      <c r="A1206" s="3" t="s">
        <v>289</v>
      </c>
      <c r="B1206" s="3" t="s">
        <v>30</v>
      </c>
      <c r="C1206" s="4" t="s">
        <v>339</v>
      </c>
      <c r="D1206" s="4" t="s">
        <v>117</v>
      </c>
      <c r="E1206" s="7">
        <v>847</v>
      </c>
      <c r="F1206" s="5">
        <f>IFERROR(VLOOKUP(D1206, Sheet2!$A:$C, 3, FALSE), 0)</f>
        <v>11363.636363636362</v>
      </c>
      <c r="G1206" s="6">
        <f t="shared" si="19"/>
        <v>9624999.9999999981</v>
      </c>
    </row>
    <row r="1207" spans="1:7" ht="17.25" x14ac:dyDescent="0.3">
      <c r="A1207" s="22" t="s">
        <v>289</v>
      </c>
      <c r="B1207" s="3" t="s">
        <v>43</v>
      </c>
      <c r="C1207" s="4" t="s">
        <v>215</v>
      </c>
      <c r="D1207" s="4" t="s">
        <v>177</v>
      </c>
      <c r="E1207" s="7">
        <v>484</v>
      </c>
      <c r="F1207" s="5">
        <f>IFERROR(VLOOKUP(D1207, Sheet2!$A:$C, 3, FALSE), 0)</f>
        <v>10000</v>
      </c>
      <c r="G1207" s="6">
        <f t="shared" si="19"/>
        <v>4840000</v>
      </c>
    </row>
    <row r="1208" spans="1:7" ht="17.25" x14ac:dyDescent="0.3">
      <c r="A1208" s="3" t="s">
        <v>289</v>
      </c>
      <c r="B1208" s="3" t="s">
        <v>30</v>
      </c>
      <c r="C1208" s="4" t="s">
        <v>339</v>
      </c>
      <c r="D1208" s="4" t="s">
        <v>67</v>
      </c>
      <c r="E1208" s="7">
        <v>644</v>
      </c>
      <c r="F1208" s="5">
        <f>IFERROR(VLOOKUP(D1208, Sheet2!$A:$C, 3, FALSE), 0)</f>
        <v>10818.181818181818</v>
      </c>
      <c r="G1208" s="6">
        <f t="shared" si="19"/>
        <v>6966909.0909090908</v>
      </c>
    </row>
    <row r="1209" spans="1:7" ht="17.25" x14ac:dyDescent="0.3">
      <c r="A1209" s="3" t="s">
        <v>289</v>
      </c>
      <c r="B1209" s="3" t="s">
        <v>30</v>
      </c>
      <c r="C1209" s="4" t="s">
        <v>339</v>
      </c>
      <c r="D1209" s="4" t="s">
        <v>117</v>
      </c>
      <c r="E1209" s="7">
        <v>847</v>
      </c>
      <c r="F1209" s="5">
        <f>IFERROR(VLOOKUP(D1209, Sheet2!$A:$C, 3, FALSE), 0)</f>
        <v>11363.636363636362</v>
      </c>
      <c r="G1209" s="6">
        <f t="shared" si="19"/>
        <v>9624999.9999999981</v>
      </c>
    </row>
    <row r="1210" spans="1:7" ht="17.25" x14ac:dyDescent="0.3">
      <c r="A1210" s="22" t="s">
        <v>289</v>
      </c>
      <c r="B1210" s="3" t="s">
        <v>43</v>
      </c>
      <c r="C1210" s="4" t="s">
        <v>215</v>
      </c>
      <c r="D1210" s="4" t="s">
        <v>177</v>
      </c>
      <c r="E1210" s="7">
        <v>484</v>
      </c>
      <c r="F1210" s="5">
        <f>IFERROR(VLOOKUP(D1210, Sheet2!$A:$C, 3, FALSE), 0)</f>
        <v>10000</v>
      </c>
      <c r="G1210" s="6">
        <f t="shared" si="19"/>
        <v>4840000</v>
      </c>
    </row>
    <row r="1211" spans="1:7" ht="17.25" x14ac:dyDescent="0.3">
      <c r="A1211" s="3" t="s">
        <v>289</v>
      </c>
      <c r="B1211" s="3" t="s">
        <v>33</v>
      </c>
      <c r="C1211" s="4" t="s">
        <v>344</v>
      </c>
      <c r="D1211" s="3" t="s">
        <v>20</v>
      </c>
      <c r="E1211" s="7">
        <v>230</v>
      </c>
      <c r="F1211" s="5">
        <f>IFERROR(VLOOKUP(D1211, Sheet2!$A:$C, 3, FALSE), 0)</f>
        <v>6999.9999999999991</v>
      </c>
      <c r="G1211" s="6">
        <f t="shared" si="19"/>
        <v>1609999.9999999998</v>
      </c>
    </row>
    <row r="1212" spans="1:7" ht="17.25" x14ac:dyDescent="0.3">
      <c r="A1212" s="3" t="s">
        <v>289</v>
      </c>
      <c r="B1212" s="3" t="s">
        <v>33</v>
      </c>
      <c r="C1212" s="4" t="s">
        <v>341</v>
      </c>
      <c r="D1212" s="4" t="s">
        <v>17</v>
      </c>
      <c r="E1212" s="7">
        <v>31</v>
      </c>
      <c r="F1212" s="5">
        <f>IFERROR(VLOOKUP(D1212, Sheet2!$A:$C, 3, FALSE), 0)</f>
        <v>11700</v>
      </c>
      <c r="G1212" s="6">
        <f t="shared" si="19"/>
        <v>362700</v>
      </c>
    </row>
    <row r="1213" spans="1:7" ht="17.25" x14ac:dyDescent="0.3">
      <c r="A1213" s="3" t="s">
        <v>289</v>
      </c>
      <c r="B1213" s="3" t="s">
        <v>33</v>
      </c>
      <c r="C1213" s="4" t="s">
        <v>342</v>
      </c>
      <c r="D1213" s="4" t="s">
        <v>61</v>
      </c>
      <c r="E1213" s="7">
        <v>66</v>
      </c>
      <c r="F1213" s="5">
        <f>IFERROR(VLOOKUP(D1213, Sheet2!$A:$C, 3, FALSE), 0)</f>
        <v>7363.6363636363631</v>
      </c>
      <c r="G1213" s="6">
        <f t="shared" si="19"/>
        <v>485999.99999999994</v>
      </c>
    </row>
    <row r="1214" spans="1:7" ht="17.25" x14ac:dyDescent="0.3">
      <c r="A1214" s="3" t="s">
        <v>290</v>
      </c>
      <c r="B1214" s="3" t="s">
        <v>24</v>
      </c>
      <c r="C1214" s="4" t="s">
        <v>338</v>
      </c>
      <c r="D1214" s="4" t="s">
        <v>36</v>
      </c>
      <c r="E1214" s="7">
        <v>278</v>
      </c>
      <c r="F1214" s="5">
        <f>IFERROR(VLOOKUP(D1214, Sheet2!$A:$C, 3, FALSE), 0)</f>
        <v>7899.9999999999991</v>
      </c>
      <c r="G1214" s="6">
        <f t="shared" si="19"/>
        <v>2196199.9999999995</v>
      </c>
    </row>
    <row r="1215" spans="1:7" ht="17.25" x14ac:dyDescent="0.3">
      <c r="A1215" s="3" t="s">
        <v>290</v>
      </c>
      <c r="B1215" s="3" t="s">
        <v>23</v>
      </c>
      <c r="C1215" s="4" t="s">
        <v>215</v>
      </c>
      <c r="D1215" s="4" t="s">
        <v>264</v>
      </c>
      <c r="E1215" s="7">
        <v>431</v>
      </c>
      <c r="F1215" s="5">
        <f>IFERROR(VLOOKUP(D1215, Sheet2!$A:$C, 3, FALSE), 0)</f>
        <v>4454.545454545454</v>
      </c>
      <c r="G1215" s="6">
        <f t="shared" si="19"/>
        <v>1919909.0909090906</v>
      </c>
    </row>
    <row r="1216" spans="1:7" ht="17.25" x14ac:dyDescent="0.3">
      <c r="A1216" s="3" t="s">
        <v>290</v>
      </c>
      <c r="B1216" s="3" t="s">
        <v>23</v>
      </c>
      <c r="C1216" s="4" t="s">
        <v>342</v>
      </c>
      <c r="D1216" s="4" t="s">
        <v>61</v>
      </c>
      <c r="E1216" s="7">
        <v>71</v>
      </c>
      <c r="F1216" s="5">
        <f>IFERROR(VLOOKUP(D1216, Sheet2!$A:$C, 3, FALSE), 0)</f>
        <v>7363.6363636363631</v>
      </c>
      <c r="G1216" s="6">
        <f t="shared" si="19"/>
        <v>522818.18181818177</v>
      </c>
    </row>
    <row r="1217" spans="1:7" ht="17.25" x14ac:dyDescent="0.3">
      <c r="A1217" s="3" t="s">
        <v>290</v>
      </c>
      <c r="B1217" s="3" t="s">
        <v>30</v>
      </c>
      <c r="C1217" s="4" t="s">
        <v>342</v>
      </c>
      <c r="D1217" s="4" t="s">
        <v>61</v>
      </c>
      <c r="E1217" s="7">
        <v>66</v>
      </c>
      <c r="F1217" s="5">
        <f>IFERROR(VLOOKUP(D1217, Sheet2!$A:$C, 3, FALSE), 0)</f>
        <v>7363.6363636363631</v>
      </c>
      <c r="G1217" s="6">
        <f t="shared" si="19"/>
        <v>485999.99999999994</v>
      </c>
    </row>
    <row r="1218" spans="1:7" ht="17.25" x14ac:dyDescent="0.3">
      <c r="A1218" s="3" t="s">
        <v>290</v>
      </c>
      <c r="B1218" s="3" t="s">
        <v>30</v>
      </c>
      <c r="C1218" s="4" t="s">
        <v>339</v>
      </c>
      <c r="D1218" s="4" t="s">
        <v>67</v>
      </c>
      <c r="E1218" s="7">
        <v>644</v>
      </c>
      <c r="F1218" s="5">
        <f>IFERROR(VLOOKUP(D1218, Sheet2!$A:$C, 3, FALSE), 0)</f>
        <v>10818.181818181818</v>
      </c>
      <c r="G1218" s="6">
        <f t="shared" si="19"/>
        <v>6966909.0909090908</v>
      </c>
    </row>
    <row r="1219" spans="1:7" ht="17.25" x14ac:dyDescent="0.3">
      <c r="A1219" s="3" t="s">
        <v>290</v>
      </c>
      <c r="B1219" s="3" t="s">
        <v>43</v>
      </c>
      <c r="C1219" s="4" t="s">
        <v>339</v>
      </c>
      <c r="D1219" s="4" t="s">
        <v>117</v>
      </c>
      <c r="E1219" s="7">
        <v>847</v>
      </c>
      <c r="F1219" s="5">
        <f>IFERROR(VLOOKUP(D1219, Sheet2!$A:$C, 3, FALSE), 0)</f>
        <v>11363.636363636362</v>
      </c>
      <c r="G1219" s="6">
        <f t="shared" si="19"/>
        <v>9624999.9999999981</v>
      </c>
    </row>
    <row r="1220" spans="1:7" ht="17.25" x14ac:dyDescent="0.3">
      <c r="A1220" s="3" t="s">
        <v>290</v>
      </c>
      <c r="B1220" s="3" t="s">
        <v>93</v>
      </c>
      <c r="C1220" s="4" t="s">
        <v>215</v>
      </c>
      <c r="D1220" s="4" t="s">
        <v>177</v>
      </c>
      <c r="E1220" s="7">
        <v>484</v>
      </c>
      <c r="F1220" s="5">
        <f>IFERROR(VLOOKUP(D1220, Sheet2!$A:$C, 3, FALSE), 0)</f>
        <v>10000</v>
      </c>
      <c r="G1220" s="6">
        <f t="shared" si="19"/>
        <v>4840000</v>
      </c>
    </row>
    <row r="1221" spans="1:7" ht="17.25" x14ac:dyDescent="0.3">
      <c r="A1221" s="3" t="s">
        <v>290</v>
      </c>
      <c r="B1221" s="3" t="s">
        <v>103</v>
      </c>
      <c r="C1221" s="4" t="s">
        <v>337</v>
      </c>
      <c r="D1221" s="3" t="s">
        <v>9</v>
      </c>
      <c r="E1221" s="7">
        <v>1667</v>
      </c>
      <c r="F1221" s="5">
        <f>IFERROR(VLOOKUP(D1221, Sheet2!$A:$C, 3, FALSE), 0)</f>
        <v>18636.363636363636</v>
      </c>
      <c r="G1221" s="6">
        <f t="shared" si="19"/>
        <v>31066818.18181818</v>
      </c>
    </row>
    <row r="1222" spans="1:7" ht="17.25" x14ac:dyDescent="0.3">
      <c r="A1222" s="3" t="s">
        <v>290</v>
      </c>
      <c r="B1222" s="3" t="s">
        <v>23</v>
      </c>
      <c r="C1222" s="4" t="s">
        <v>338</v>
      </c>
      <c r="D1222" s="3" t="s">
        <v>36</v>
      </c>
      <c r="E1222" s="7">
        <v>630</v>
      </c>
      <c r="F1222" s="5">
        <f>IFERROR(VLOOKUP(D1222, Sheet2!$A:$C, 3, FALSE), 0)</f>
        <v>7899.9999999999991</v>
      </c>
      <c r="G1222" s="6">
        <f t="shared" si="19"/>
        <v>4976999.9999999991</v>
      </c>
    </row>
    <row r="1223" spans="1:7" ht="17.25" x14ac:dyDescent="0.3">
      <c r="A1223" s="22" t="s">
        <v>290</v>
      </c>
      <c r="B1223" s="3" t="s">
        <v>43</v>
      </c>
      <c r="C1223" s="4" t="s">
        <v>342</v>
      </c>
      <c r="D1223" s="4" t="s">
        <v>61</v>
      </c>
      <c r="E1223" s="7">
        <v>48</v>
      </c>
      <c r="F1223" s="5">
        <f>IFERROR(VLOOKUP(D1223, Sheet2!$A:$C, 3, FALSE), 0)</f>
        <v>7363.6363636363631</v>
      </c>
      <c r="G1223" s="6">
        <f t="shared" si="19"/>
        <v>353454.54545454541</v>
      </c>
    </row>
    <row r="1224" spans="1:7" ht="17.25" x14ac:dyDescent="0.3">
      <c r="A1224" s="22" t="s">
        <v>290</v>
      </c>
      <c r="B1224" s="3" t="s">
        <v>43</v>
      </c>
      <c r="C1224" s="4" t="s">
        <v>344</v>
      </c>
      <c r="D1224" s="11" t="s">
        <v>15</v>
      </c>
      <c r="E1224" s="10">
        <v>174</v>
      </c>
      <c r="F1224" s="5">
        <f>IFERROR(VLOOKUP(D1224, Sheet2!$A:$C, 3, FALSE), 0)</f>
        <v>3863.6363636363635</v>
      </c>
      <c r="G1224" s="6">
        <f t="shared" si="19"/>
        <v>672272.72727272729</v>
      </c>
    </row>
    <row r="1225" spans="1:7" ht="17.25" x14ac:dyDescent="0.3">
      <c r="A1225" s="3" t="s">
        <v>290</v>
      </c>
      <c r="B1225" s="3" t="s">
        <v>33</v>
      </c>
      <c r="C1225" s="4" t="s">
        <v>341</v>
      </c>
      <c r="D1225" s="4" t="s">
        <v>68</v>
      </c>
      <c r="E1225" s="7">
        <v>138</v>
      </c>
      <c r="F1225" s="5">
        <f>IFERROR(VLOOKUP(D1225, Sheet2!$A:$C, 3, FALSE), 0)</f>
        <v>13400</v>
      </c>
      <c r="G1225" s="6">
        <f t="shared" si="19"/>
        <v>1849200</v>
      </c>
    </row>
    <row r="1226" spans="1:7" ht="17.25" x14ac:dyDescent="0.3">
      <c r="A1226" s="3" t="s">
        <v>290</v>
      </c>
      <c r="B1226" s="23" t="s">
        <v>33</v>
      </c>
      <c r="C1226" s="4" t="s">
        <v>344</v>
      </c>
      <c r="D1226" s="3" t="s">
        <v>20</v>
      </c>
      <c r="E1226" s="7">
        <v>65</v>
      </c>
      <c r="F1226" s="5">
        <f>IFERROR(VLOOKUP(D1226, Sheet2!$A:$C, 3, FALSE), 0)</f>
        <v>6999.9999999999991</v>
      </c>
      <c r="G1226" s="6">
        <f t="shared" si="19"/>
        <v>454999.99999999994</v>
      </c>
    </row>
    <row r="1227" spans="1:7" ht="17.25" x14ac:dyDescent="0.3">
      <c r="A1227" s="3" t="s">
        <v>290</v>
      </c>
      <c r="B1227" s="3" t="s">
        <v>95</v>
      </c>
      <c r="C1227" s="4" t="s">
        <v>341</v>
      </c>
      <c r="D1227" s="4" t="s">
        <v>110</v>
      </c>
      <c r="E1227" s="7">
        <v>63</v>
      </c>
      <c r="F1227" s="5">
        <f>IFERROR(VLOOKUP(D1227, Sheet2!$A:$C, 3, FALSE), 0)</f>
        <v>2500</v>
      </c>
      <c r="G1227" s="6">
        <f t="shared" si="19"/>
        <v>157500</v>
      </c>
    </row>
    <row r="1228" spans="1:7" ht="17.25" x14ac:dyDescent="0.3">
      <c r="A1228" s="3" t="s">
        <v>290</v>
      </c>
      <c r="B1228" s="3" t="s">
        <v>51</v>
      </c>
      <c r="C1228" s="4" t="s">
        <v>344</v>
      </c>
      <c r="D1228" s="3" t="s">
        <v>53</v>
      </c>
      <c r="E1228" s="7">
        <v>536</v>
      </c>
      <c r="F1228" s="5">
        <f>IFERROR(VLOOKUP(D1228, Sheet2!$A:$C, 3, FALSE), 0)</f>
        <v>5818.181818181818</v>
      </c>
      <c r="G1228" s="6">
        <f t="shared" si="19"/>
        <v>3118545.4545454546</v>
      </c>
    </row>
    <row r="1229" spans="1:7" ht="17.25" x14ac:dyDescent="0.3">
      <c r="A1229" s="22" t="s">
        <v>290</v>
      </c>
      <c r="B1229" s="3" t="s">
        <v>23</v>
      </c>
      <c r="C1229" s="4" t="s">
        <v>344</v>
      </c>
      <c r="D1229" s="3" t="s">
        <v>53</v>
      </c>
      <c r="E1229" s="7">
        <v>593</v>
      </c>
      <c r="F1229" s="5">
        <f>IFERROR(VLOOKUP(D1229, Sheet2!$A:$C, 3, FALSE), 0)</f>
        <v>5818.181818181818</v>
      </c>
      <c r="G1229" s="6">
        <f t="shared" si="19"/>
        <v>3450181.8181818179</v>
      </c>
    </row>
    <row r="1230" spans="1:7" ht="17.25" x14ac:dyDescent="0.3">
      <c r="A1230" s="3" t="s">
        <v>291</v>
      </c>
      <c r="B1230" s="3" t="s">
        <v>23</v>
      </c>
      <c r="C1230" s="4" t="s">
        <v>342</v>
      </c>
      <c r="D1230" s="4" t="s">
        <v>61</v>
      </c>
      <c r="E1230" s="7">
        <v>49</v>
      </c>
      <c r="F1230" s="5">
        <f>IFERROR(VLOOKUP(D1230, Sheet2!$A:$C, 3, FALSE), 0)</f>
        <v>7363.6363636363631</v>
      </c>
      <c r="G1230" s="6">
        <f t="shared" si="19"/>
        <v>360818.18181818177</v>
      </c>
    </row>
    <row r="1231" spans="1:7" ht="17.25" x14ac:dyDescent="0.3">
      <c r="A1231" s="3" t="s">
        <v>291</v>
      </c>
      <c r="B1231" s="3" t="s">
        <v>75</v>
      </c>
      <c r="C1231" s="4" t="s">
        <v>342</v>
      </c>
      <c r="D1231" s="4" t="s">
        <v>61</v>
      </c>
      <c r="E1231" s="7">
        <v>40</v>
      </c>
      <c r="F1231" s="5">
        <f>IFERROR(VLOOKUP(D1231, Sheet2!$A:$C, 3, FALSE), 0)</f>
        <v>7363.6363636363631</v>
      </c>
      <c r="G1231" s="6">
        <f t="shared" si="19"/>
        <v>294545.45454545453</v>
      </c>
    </row>
    <row r="1232" spans="1:7" ht="17.25" x14ac:dyDescent="0.3">
      <c r="A1232" s="3" t="s">
        <v>291</v>
      </c>
      <c r="B1232" s="3" t="s">
        <v>63</v>
      </c>
      <c r="C1232" s="4" t="s">
        <v>344</v>
      </c>
      <c r="D1232" s="3" t="s">
        <v>22</v>
      </c>
      <c r="E1232" s="7">
        <v>119</v>
      </c>
      <c r="F1232" s="5">
        <f>IFERROR(VLOOKUP(D1232, Sheet2!$A:$C, 3, FALSE), 0)</f>
        <v>5999.9999999999991</v>
      </c>
      <c r="G1232" s="6">
        <f t="shared" si="19"/>
        <v>713999.99999999988</v>
      </c>
    </row>
    <row r="1233" spans="1:7" ht="17.25" x14ac:dyDescent="0.3">
      <c r="A1233" s="22" t="s">
        <v>291</v>
      </c>
      <c r="B1233" s="3" t="s">
        <v>63</v>
      </c>
      <c r="C1233" s="4" t="s">
        <v>339</v>
      </c>
      <c r="D1233" s="3" t="s">
        <v>97</v>
      </c>
      <c r="E1233" s="7">
        <v>840</v>
      </c>
      <c r="F1233" s="5">
        <f>IFERROR(VLOOKUP(D1233, Sheet2!$A:$C, 3, FALSE), 0)</f>
        <v>17181.81818181818</v>
      </c>
      <c r="G1233" s="6">
        <f t="shared" si="19"/>
        <v>14432727.272727272</v>
      </c>
    </row>
    <row r="1234" spans="1:7" ht="17.25" x14ac:dyDescent="0.3">
      <c r="A1234" s="22" t="s">
        <v>291</v>
      </c>
      <c r="B1234" s="3" t="s">
        <v>14</v>
      </c>
      <c r="C1234" s="4" t="s">
        <v>339</v>
      </c>
      <c r="D1234" s="3" t="s">
        <v>108</v>
      </c>
      <c r="E1234" s="7">
        <v>906</v>
      </c>
      <c r="F1234" s="5">
        <f>IFERROR(VLOOKUP(D1234, Sheet2!$A:$C, 3, FALSE), 0)</f>
        <v>12272.727272727272</v>
      </c>
      <c r="G1234" s="6">
        <f t="shared" si="19"/>
        <v>11119090.909090908</v>
      </c>
    </row>
    <row r="1235" spans="1:7" ht="17.25" x14ac:dyDescent="0.3">
      <c r="A1235" s="3" t="s">
        <v>291</v>
      </c>
      <c r="B1235" s="23" t="s">
        <v>33</v>
      </c>
      <c r="C1235" s="4" t="s">
        <v>337</v>
      </c>
      <c r="D1235" s="3" t="s">
        <v>122</v>
      </c>
      <c r="E1235" s="7">
        <v>618</v>
      </c>
      <c r="F1235" s="5">
        <f>IFERROR(VLOOKUP(D1235, Sheet2!$A:$C, 3, FALSE), 0)</f>
        <v>8181.8181818181811</v>
      </c>
      <c r="G1235" s="6">
        <f t="shared" si="19"/>
        <v>5056363.6363636358</v>
      </c>
    </row>
    <row r="1236" spans="1:7" ht="17.25" x14ac:dyDescent="0.3">
      <c r="A1236" s="3" t="s">
        <v>291</v>
      </c>
      <c r="B1236" s="3" t="s">
        <v>33</v>
      </c>
      <c r="C1236" s="4" t="s">
        <v>341</v>
      </c>
      <c r="D1236" s="4" t="s">
        <v>110</v>
      </c>
      <c r="E1236" s="7">
        <v>68</v>
      </c>
      <c r="F1236" s="5">
        <f>IFERROR(VLOOKUP(D1236, Sheet2!$A:$C, 3, FALSE), 0)</f>
        <v>2500</v>
      </c>
      <c r="G1236" s="6">
        <f t="shared" si="19"/>
        <v>170000</v>
      </c>
    </row>
    <row r="1237" spans="1:7" ht="17.25" x14ac:dyDescent="0.3">
      <c r="A1237" s="22" t="s">
        <v>291</v>
      </c>
      <c r="B1237" s="3" t="s">
        <v>60</v>
      </c>
      <c r="C1237" s="4" t="s">
        <v>341</v>
      </c>
      <c r="D1237" s="4" t="s">
        <v>17</v>
      </c>
      <c r="E1237" s="7">
        <v>136</v>
      </c>
      <c r="F1237" s="5">
        <f>IFERROR(VLOOKUP(D1237, Sheet2!$A:$C, 3, FALSE), 0)</f>
        <v>11700</v>
      </c>
      <c r="G1237" s="6">
        <f t="shared" si="19"/>
        <v>1591200</v>
      </c>
    </row>
    <row r="1238" spans="1:7" ht="17.25" x14ac:dyDescent="0.3">
      <c r="A1238" s="22" t="s">
        <v>291</v>
      </c>
      <c r="B1238" s="3" t="s">
        <v>23</v>
      </c>
      <c r="C1238" s="4" t="s">
        <v>337</v>
      </c>
      <c r="D1238" s="3" t="s">
        <v>55</v>
      </c>
      <c r="E1238" s="7">
        <v>616</v>
      </c>
      <c r="F1238" s="5">
        <f>IFERROR(VLOOKUP(D1238, Sheet2!$A:$C, 3, FALSE), 0)</f>
        <v>14899.999999999998</v>
      </c>
      <c r="G1238" s="6">
        <f t="shared" si="19"/>
        <v>9178399.9999999981</v>
      </c>
    </row>
    <row r="1239" spans="1:7" ht="17.25" x14ac:dyDescent="0.3">
      <c r="A1239" s="22" t="s">
        <v>292</v>
      </c>
      <c r="B1239" s="3" t="s">
        <v>102</v>
      </c>
      <c r="C1239" s="4" t="s">
        <v>342</v>
      </c>
      <c r="D1239" s="4" t="s">
        <v>61</v>
      </c>
      <c r="E1239" s="7">
        <v>43</v>
      </c>
      <c r="F1239" s="5">
        <f>IFERROR(VLOOKUP(D1239, Sheet2!$A:$C, 3, FALSE), 0)</f>
        <v>7363.6363636363631</v>
      </c>
      <c r="G1239" s="6">
        <f t="shared" si="19"/>
        <v>316636.36363636359</v>
      </c>
    </row>
    <row r="1240" spans="1:7" ht="17.25" x14ac:dyDescent="0.3">
      <c r="A1240" s="22" t="s">
        <v>292</v>
      </c>
      <c r="B1240" s="3" t="s">
        <v>8</v>
      </c>
      <c r="C1240" s="4" t="s">
        <v>337</v>
      </c>
      <c r="D1240" s="3" t="s">
        <v>9</v>
      </c>
      <c r="E1240" s="7">
        <v>484</v>
      </c>
      <c r="F1240" s="5">
        <f>IFERROR(VLOOKUP(D1240, Sheet2!$A:$C, 3, FALSE), 0)</f>
        <v>18636.363636363636</v>
      </c>
      <c r="G1240" s="6">
        <f t="shared" si="19"/>
        <v>9020000</v>
      </c>
    </row>
    <row r="1241" spans="1:7" ht="17.25" x14ac:dyDescent="0.3">
      <c r="A1241" s="3" t="s">
        <v>292</v>
      </c>
      <c r="B1241" s="3" t="s">
        <v>5</v>
      </c>
      <c r="C1241" s="4" t="s">
        <v>342</v>
      </c>
      <c r="D1241" s="11" t="s">
        <v>35</v>
      </c>
      <c r="E1241" s="7">
        <v>77</v>
      </c>
      <c r="F1241" s="5">
        <f>IFERROR(VLOOKUP(D1241, Sheet2!$A:$C, 3, FALSE), 0)</f>
        <v>8363.6363636363621</v>
      </c>
      <c r="G1241" s="6">
        <f t="shared" si="19"/>
        <v>643999.99999999988</v>
      </c>
    </row>
    <row r="1242" spans="1:7" ht="17.25" x14ac:dyDescent="0.3">
      <c r="A1242" s="3" t="s">
        <v>293</v>
      </c>
      <c r="B1242" s="3" t="s">
        <v>21</v>
      </c>
      <c r="C1242" s="4" t="s">
        <v>337</v>
      </c>
      <c r="D1242" s="3" t="s">
        <v>6</v>
      </c>
      <c r="E1242" s="7">
        <v>941</v>
      </c>
      <c r="F1242" s="5">
        <f>IFERROR(VLOOKUP(D1242, Sheet2!$A:$C, 3, FALSE), 0)</f>
        <v>14999.999999999998</v>
      </c>
      <c r="G1242" s="6">
        <f t="shared" si="19"/>
        <v>14114999.999999998</v>
      </c>
    </row>
    <row r="1243" spans="1:7" ht="17.25" x14ac:dyDescent="0.3">
      <c r="A1243" s="3" t="s">
        <v>293</v>
      </c>
      <c r="B1243" s="3" t="s">
        <v>31</v>
      </c>
      <c r="C1243" s="4" t="s">
        <v>344</v>
      </c>
      <c r="D1243" s="3" t="s">
        <v>22</v>
      </c>
      <c r="E1243" s="7">
        <v>125</v>
      </c>
      <c r="F1243" s="5">
        <f>IFERROR(VLOOKUP(D1243, Sheet2!$A:$C, 3, FALSE), 0)</f>
        <v>5999.9999999999991</v>
      </c>
      <c r="G1243" s="6">
        <f t="shared" si="19"/>
        <v>749999.99999999988</v>
      </c>
    </row>
    <row r="1244" spans="1:7" ht="17.25" x14ac:dyDescent="0.3">
      <c r="A1244" s="22" t="s">
        <v>293</v>
      </c>
      <c r="B1244" s="3" t="s">
        <v>31</v>
      </c>
      <c r="C1244" s="4" t="s">
        <v>344</v>
      </c>
      <c r="D1244" s="3" t="s">
        <v>32</v>
      </c>
      <c r="E1244" s="7">
        <v>697</v>
      </c>
      <c r="F1244" s="5">
        <f>IFERROR(VLOOKUP(D1244, Sheet2!$A:$C, 3, FALSE), 0)</f>
        <v>4363.6363636363631</v>
      </c>
      <c r="G1244" s="6">
        <f t="shared" ref="G1244:G1307" si="20">E1244*F1244</f>
        <v>3041454.5454545449</v>
      </c>
    </row>
    <row r="1245" spans="1:7" ht="17.25" x14ac:dyDescent="0.3">
      <c r="A1245" s="3" t="s">
        <v>293</v>
      </c>
      <c r="B1245" s="3" t="s">
        <v>69</v>
      </c>
      <c r="C1245" s="4" t="s">
        <v>343</v>
      </c>
      <c r="D1245" s="3" t="s">
        <v>45</v>
      </c>
      <c r="E1245" s="7">
        <v>802</v>
      </c>
      <c r="F1245" s="5">
        <f>IFERROR(VLOOKUP(D1245, Sheet2!$A:$C, 3, FALSE), 0)</f>
        <v>10909.090909090908</v>
      </c>
      <c r="G1245" s="6">
        <f t="shared" si="20"/>
        <v>8749090.9090909082</v>
      </c>
    </row>
    <row r="1246" spans="1:7" ht="17.25" x14ac:dyDescent="0.3">
      <c r="A1246" s="3" t="s">
        <v>293</v>
      </c>
      <c r="B1246" s="3" t="s">
        <v>150</v>
      </c>
      <c r="C1246" s="4" t="s">
        <v>339</v>
      </c>
      <c r="D1246" s="3" t="s">
        <v>108</v>
      </c>
      <c r="E1246" s="7">
        <v>1380</v>
      </c>
      <c r="F1246" s="5">
        <f>IFERROR(VLOOKUP(D1246, Sheet2!$A:$C, 3, FALSE), 0)</f>
        <v>12272.727272727272</v>
      </c>
      <c r="G1246" s="6">
        <f t="shared" si="20"/>
        <v>16936363.636363637</v>
      </c>
    </row>
    <row r="1247" spans="1:7" ht="17.25" x14ac:dyDescent="0.3">
      <c r="A1247" s="22" t="s">
        <v>293</v>
      </c>
      <c r="B1247" s="3" t="s">
        <v>150</v>
      </c>
      <c r="C1247" s="4" t="s">
        <v>344</v>
      </c>
      <c r="D1247" s="3" t="s">
        <v>32</v>
      </c>
      <c r="E1247" s="7">
        <v>1579</v>
      </c>
      <c r="F1247" s="5">
        <f>IFERROR(VLOOKUP(D1247, Sheet2!$A:$C, 3, FALSE), 0)</f>
        <v>4363.6363636363631</v>
      </c>
      <c r="G1247" s="6">
        <f t="shared" si="20"/>
        <v>6890181.8181818174</v>
      </c>
    </row>
    <row r="1248" spans="1:7" ht="17.25" x14ac:dyDescent="0.3">
      <c r="A1248" s="3" t="s">
        <v>293</v>
      </c>
      <c r="B1248" s="3" t="s">
        <v>24</v>
      </c>
      <c r="C1248" s="4" t="s">
        <v>344</v>
      </c>
      <c r="D1248" s="3" t="s">
        <v>39</v>
      </c>
      <c r="E1248" s="7">
        <v>282</v>
      </c>
      <c r="F1248" s="5">
        <f>IFERROR(VLOOKUP(D1248, Sheet2!$A:$C, 3, FALSE), 0)</f>
        <v>3863.6363636363635</v>
      </c>
      <c r="G1248" s="6">
        <f t="shared" si="20"/>
        <v>1089545.4545454546</v>
      </c>
    </row>
    <row r="1249" spans="1:7" ht="17.25" x14ac:dyDescent="0.3">
      <c r="A1249" s="22" t="s">
        <v>293</v>
      </c>
      <c r="B1249" s="3" t="s">
        <v>24</v>
      </c>
      <c r="C1249" s="4" t="s">
        <v>338</v>
      </c>
      <c r="D1249" s="3" t="s">
        <v>36</v>
      </c>
      <c r="E1249" s="7">
        <v>343</v>
      </c>
      <c r="F1249" s="5">
        <f>IFERROR(VLOOKUP(D1249, Sheet2!$A:$C, 3, FALSE), 0)</f>
        <v>7899.9999999999991</v>
      </c>
      <c r="G1249" s="6">
        <f t="shared" si="20"/>
        <v>2709699.9999999995</v>
      </c>
    </row>
    <row r="1250" spans="1:7" ht="17.25" x14ac:dyDescent="0.3">
      <c r="A1250" s="3" t="s">
        <v>293</v>
      </c>
      <c r="B1250" s="3" t="s">
        <v>75</v>
      </c>
      <c r="C1250" s="4" t="s">
        <v>344</v>
      </c>
      <c r="D1250" s="3" t="s">
        <v>22</v>
      </c>
      <c r="E1250" s="7">
        <v>191</v>
      </c>
      <c r="F1250" s="5">
        <f>IFERROR(VLOOKUP(D1250, Sheet2!$A:$C, 3, FALSE), 0)</f>
        <v>5999.9999999999991</v>
      </c>
      <c r="G1250" s="6">
        <f t="shared" si="20"/>
        <v>1145999.9999999998</v>
      </c>
    </row>
    <row r="1251" spans="1:7" ht="17.25" x14ac:dyDescent="0.3">
      <c r="A1251" s="22" t="s">
        <v>293</v>
      </c>
      <c r="B1251" s="3" t="s">
        <v>48</v>
      </c>
      <c r="C1251" s="4" t="s">
        <v>215</v>
      </c>
      <c r="D1251" s="3" t="s">
        <v>177</v>
      </c>
      <c r="E1251" s="7">
        <v>585</v>
      </c>
      <c r="F1251" s="5">
        <f>IFERROR(VLOOKUP(D1251, Sheet2!$A:$C, 3, FALSE), 0)</f>
        <v>10000</v>
      </c>
      <c r="G1251" s="6">
        <f t="shared" si="20"/>
        <v>5850000</v>
      </c>
    </row>
    <row r="1252" spans="1:7" ht="17.25" x14ac:dyDescent="0.3">
      <c r="A1252" s="22" t="s">
        <v>293</v>
      </c>
      <c r="B1252" s="3" t="s">
        <v>16</v>
      </c>
      <c r="C1252" s="4" t="s">
        <v>337</v>
      </c>
      <c r="D1252" s="3" t="s">
        <v>83</v>
      </c>
      <c r="E1252" s="7">
        <v>576</v>
      </c>
      <c r="F1252" s="5">
        <f>IFERROR(VLOOKUP(D1252, Sheet2!$A:$C, 3, FALSE), 0)</f>
        <v>7636.363636363636</v>
      </c>
      <c r="G1252" s="6">
        <f t="shared" si="20"/>
        <v>4398545.4545454541</v>
      </c>
    </row>
    <row r="1253" spans="1:7" ht="17.25" x14ac:dyDescent="0.3">
      <c r="A1253" s="3" t="s">
        <v>293</v>
      </c>
      <c r="B1253" s="3" t="s">
        <v>16</v>
      </c>
      <c r="C1253" s="4" t="s">
        <v>216</v>
      </c>
      <c r="D1253" s="11" t="s">
        <v>37</v>
      </c>
      <c r="E1253" s="7">
        <v>893</v>
      </c>
      <c r="F1253" s="5">
        <f>IFERROR(VLOOKUP(D1253, Sheet2!$A:$C, 3, FALSE), 0)</f>
        <v>6799.9999999999991</v>
      </c>
      <c r="G1253" s="6">
        <f t="shared" si="20"/>
        <v>6072399.9999999991</v>
      </c>
    </row>
    <row r="1254" spans="1:7" ht="17.25" x14ac:dyDescent="0.3">
      <c r="A1254" s="3" t="s">
        <v>293</v>
      </c>
      <c r="B1254" s="3" t="s">
        <v>60</v>
      </c>
      <c r="C1254" s="4" t="s">
        <v>338</v>
      </c>
      <c r="D1254" s="3" t="s">
        <v>36</v>
      </c>
      <c r="E1254" s="7">
        <v>854</v>
      </c>
      <c r="F1254" s="5">
        <f>IFERROR(VLOOKUP(D1254, Sheet2!$A:$C, 3, FALSE), 0)</f>
        <v>7899.9999999999991</v>
      </c>
      <c r="G1254" s="6">
        <f t="shared" si="20"/>
        <v>6746599.9999999991</v>
      </c>
    </row>
    <row r="1255" spans="1:7" ht="17.25" x14ac:dyDescent="0.3">
      <c r="A1255" s="22" t="s">
        <v>293</v>
      </c>
      <c r="B1255" s="3" t="s">
        <v>18</v>
      </c>
      <c r="C1255" s="4" t="s">
        <v>342</v>
      </c>
      <c r="D1255" s="3" t="s">
        <v>61</v>
      </c>
      <c r="E1255" s="7">
        <v>73</v>
      </c>
      <c r="F1255" s="5">
        <f>IFERROR(VLOOKUP(D1255, Sheet2!$A:$C, 3, FALSE), 0)</f>
        <v>7363.6363636363631</v>
      </c>
      <c r="G1255" s="6">
        <f t="shared" si="20"/>
        <v>537545.45454545447</v>
      </c>
    </row>
    <row r="1256" spans="1:7" ht="17.25" x14ac:dyDescent="0.3">
      <c r="A1256" s="22" t="s">
        <v>293</v>
      </c>
      <c r="B1256" s="3" t="s">
        <v>19</v>
      </c>
      <c r="C1256" s="4" t="s">
        <v>339</v>
      </c>
      <c r="D1256" s="3" t="s">
        <v>97</v>
      </c>
      <c r="E1256" s="7">
        <v>650</v>
      </c>
      <c r="F1256" s="5">
        <f>IFERROR(VLOOKUP(D1256, Sheet2!$A:$C, 3, FALSE), 0)</f>
        <v>17181.81818181818</v>
      </c>
      <c r="G1256" s="6">
        <f t="shared" si="20"/>
        <v>11168181.818181816</v>
      </c>
    </row>
    <row r="1257" spans="1:7" ht="17.25" x14ac:dyDescent="0.3">
      <c r="A1257" s="22" t="s">
        <v>294</v>
      </c>
      <c r="B1257" s="3" t="s">
        <v>31</v>
      </c>
      <c r="C1257" s="4" t="s">
        <v>344</v>
      </c>
      <c r="D1257" s="3" t="s">
        <v>52</v>
      </c>
      <c r="E1257" s="7">
        <v>221</v>
      </c>
      <c r="F1257" s="5">
        <f>IFERROR(VLOOKUP(D1257, Sheet2!$A:$C, 3, FALSE), 0)</f>
        <v>5999.9999999999991</v>
      </c>
      <c r="G1257" s="6">
        <f t="shared" si="20"/>
        <v>1325999.9999999998</v>
      </c>
    </row>
    <row r="1258" spans="1:7" ht="17.25" x14ac:dyDescent="0.3">
      <c r="A1258" s="22" t="s">
        <v>294</v>
      </c>
      <c r="B1258" s="3" t="s">
        <v>25</v>
      </c>
      <c r="C1258" s="4" t="s">
        <v>216</v>
      </c>
      <c r="D1258" s="3" t="s">
        <v>37</v>
      </c>
      <c r="E1258" s="7">
        <v>655</v>
      </c>
      <c r="F1258" s="5">
        <f>IFERROR(VLOOKUP(D1258, Sheet2!$A:$C, 3, FALSE), 0)</f>
        <v>6799.9999999999991</v>
      </c>
      <c r="G1258" s="6">
        <f t="shared" si="20"/>
        <v>4453999.9999999991</v>
      </c>
    </row>
    <row r="1259" spans="1:7" ht="17.25" x14ac:dyDescent="0.3">
      <c r="A1259" s="22" t="s">
        <v>294</v>
      </c>
      <c r="B1259" s="3" t="s">
        <v>25</v>
      </c>
      <c r="C1259" s="4" t="s">
        <v>337</v>
      </c>
      <c r="D1259" s="3" t="s">
        <v>79</v>
      </c>
      <c r="E1259" s="7">
        <v>464</v>
      </c>
      <c r="F1259" s="5">
        <f>IFERROR(VLOOKUP(D1259, Sheet2!$A:$C, 3, FALSE), 0)</f>
        <v>21363.63636363636</v>
      </c>
      <c r="G1259" s="6">
        <f t="shared" si="20"/>
        <v>9912727.2727272715</v>
      </c>
    </row>
    <row r="1260" spans="1:7" ht="17.25" x14ac:dyDescent="0.3">
      <c r="A1260" s="3" t="s">
        <v>294</v>
      </c>
      <c r="B1260" s="3" t="s">
        <v>114</v>
      </c>
      <c r="C1260" s="4" t="s">
        <v>344</v>
      </c>
      <c r="D1260" s="3" t="s">
        <v>15</v>
      </c>
      <c r="E1260" s="7">
        <v>350</v>
      </c>
      <c r="F1260" s="5">
        <f>IFERROR(VLOOKUP(D1260, Sheet2!$A:$C, 3, FALSE), 0)</f>
        <v>3863.6363636363635</v>
      </c>
      <c r="G1260" s="6">
        <f t="shared" si="20"/>
        <v>1352272.7272727273</v>
      </c>
    </row>
    <row r="1261" spans="1:7" ht="17.25" x14ac:dyDescent="0.3">
      <c r="A1261" s="3" t="s">
        <v>294</v>
      </c>
      <c r="B1261" s="3" t="s">
        <v>114</v>
      </c>
      <c r="C1261" s="4" t="s">
        <v>344</v>
      </c>
      <c r="D1261" s="3" t="s">
        <v>15</v>
      </c>
      <c r="E1261" s="7">
        <v>500</v>
      </c>
      <c r="F1261" s="5">
        <f>IFERROR(VLOOKUP(D1261, Sheet2!$A:$C, 3, FALSE), 0)</f>
        <v>3863.6363636363635</v>
      </c>
      <c r="G1261" s="6">
        <f t="shared" si="20"/>
        <v>1931818.1818181816</v>
      </c>
    </row>
    <row r="1262" spans="1:7" ht="17.25" x14ac:dyDescent="0.3">
      <c r="A1262" s="3" t="s">
        <v>294</v>
      </c>
      <c r="B1262" s="3" t="s">
        <v>150</v>
      </c>
      <c r="C1262" s="4" t="s">
        <v>344</v>
      </c>
      <c r="D1262" s="3" t="s">
        <v>39</v>
      </c>
      <c r="E1262" s="7">
        <v>500</v>
      </c>
      <c r="F1262" s="5">
        <f>IFERROR(VLOOKUP(D1262, Sheet2!$A:$C, 3, FALSE), 0)</f>
        <v>3863.6363636363635</v>
      </c>
      <c r="G1262" s="6">
        <f t="shared" si="20"/>
        <v>1931818.1818181816</v>
      </c>
    </row>
    <row r="1263" spans="1:7" ht="17.25" x14ac:dyDescent="0.3">
      <c r="A1263" s="22" t="s">
        <v>294</v>
      </c>
      <c r="B1263" s="3" t="s">
        <v>23</v>
      </c>
      <c r="C1263" s="4" t="s">
        <v>344</v>
      </c>
      <c r="D1263" s="3" t="s">
        <v>39</v>
      </c>
      <c r="E1263" s="7">
        <v>454</v>
      </c>
      <c r="F1263" s="5">
        <f>IFERROR(VLOOKUP(D1263, Sheet2!$A:$C, 3, FALSE), 0)</f>
        <v>3863.6363636363635</v>
      </c>
      <c r="G1263" s="6">
        <f t="shared" si="20"/>
        <v>1754090.9090909089</v>
      </c>
    </row>
    <row r="1264" spans="1:7" ht="17.25" x14ac:dyDescent="0.3">
      <c r="A1264" s="3" t="s">
        <v>294</v>
      </c>
      <c r="B1264" s="3" t="s">
        <v>23</v>
      </c>
      <c r="C1264" s="4" t="s">
        <v>342</v>
      </c>
      <c r="D1264" s="4" t="s">
        <v>61</v>
      </c>
      <c r="E1264" s="7">
        <v>89</v>
      </c>
      <c r="F1264" s="5">
        <f>IFERROR(VLOOKUP(D1264, Sheet2!$A:$C, 3, FALSE), 0)</f>
        <v>7363.6363636363631</v>
      </c>
      <c r="G1264" s="6">
        <f t="shared" si="20"/>
        <v>655363.63636363635</v>
      </c>
    </row>
    <row r="1265" spans="1:7" ht="17.25" x14ac:dyDescent="0.3">
      <c r="A1265" s="3" t="s">
        <v>294</v>
      </c>
      <c r="B1265" s="3" t="s">
        <v>75</v>
      </c>
      <c r="C1265" s="4" t="s">
        <v>342</v>
      </c>
      <c r="D1265" s="4" t="s">
        <v>61</v>
      </c>
      <c r="E1265" s="7">
        <v>81</v>
      </c>
      <c r="F1265" s="5">
        <f>IFERROR(VLOOKUP(D1265, Sheet2!$A:$C, 3, FALSE), 0)</f>
        <v>7363.6363636363631</v>
      </c>
      <c r="G1265" s="6">
        <f t="shared" si="20"/>
        <v>596454.54545454541</v>
      </c>
    </row>
    <row r="1266" spans="1:7" ht="17.25" x14ac:dyDescent="0.3">
      <c r="A1266" s="22" t="s">
        <v>294</v>
      </c>
      <c r="B1266" s="3" t="s">
        <v>48</v>
      </c>
      <c r="C1266" s="4" t="s">
        <v>338</v>
      </c>
      <c r="D1266" s="11" t="s">
        <v>36</v>
      </c>
      <c r="E1266" s="7">
        <v>543</v>
      </c>
      <c r="F1266" s="5">
        <f>IFERROR(VLOOKUP(D1266, Sheet2!$A:$C, 3, FALSE), 0)</f>
        <v>7899.9999999999991</v>
      </c>
      <c r="G1266" s="6">
        <f t="shared" si="20"/>
        <v>4289699.9999999991</v>
      </c>
    </row>
    <row r="1267" spans="1:7" ht="17.25" x14ac:dyDescent="0.3">
      <c r="A1267" s="22" t="s">
        <v>294</v>
      </c>
      <c r="B1267" s="3" t="s">
        <v>11</v>
      </c>
      <c r="C1267" s="4" t="s">
        <v>337</v>
      </c>
      <c r="D1267" s="3" t="s">
        <v>83</v>
      </c>
      <c r="E1267" s="7">
        <v>523</v>
      </c>
      <c r="F1267" s="5">
        <f>IFERROR(VLOOKUP(D1267, Sheet2!$A:$C, 3, FALSE), 0)</f>
        <v>7636.363636363636</v>
      </c>
      <c r="G1267" s="6">
        <f t="shared" si="20"/>
        <v>3993818.1818181816</v>
      </c>
    </row>
    <row r="1268" spans="1:7" ht="17.25" x14ac:dyDescent="0.3">
      <c r="A1268" s="3" t="s">
        <v>294</v>
      </c>
      <c r="B1268" s="3" t="s">
        <v>63</v>
      </c>
      <c r="C1268" s="4" t="s">
        <v>337</v>
      </c>
      <c r="D1268" s="3" t="s">
        <v>79</v>
      </c>
      <c r="E1268" s="7">
        <v>43</v>
      </c>
      <c r="F1268" s="5">
        <f>IFERROR(VLOOKUP(D1268, Sheet2!$A:$C, 3, FALSE), 0)</f>
        <v>21363.63636363636</v>
      </c>
      <c r="G1268" s="6">
        <f t="shared" si="20"/>
        <v>918636.36363636353</v>
      </c>
    </row>
    <row r="1269" spans="1:7" ht="17.25" x14ac:dyDescent="0.3">
      <c r="A1269" s="22" t="s">
        <v>294</v>
      </c>
      <c r="B1269" s="3" t="s">
        <v>63</v>
      </c>
      <c r="C1269" s="4" t="s">
        <v>338</v>
      </c>
      <c r="D1269" s="3" t="s">
        <v>28</v>
      </c>
      <c r="E1269" s="7">
        <v>737</v>
      </c>
      <c r="F1269" s="5">
        <f>IFERROR(VLOOKUP(D1269, Sheet2!$A:$C, 3, FALSE), 0)</f>
        <v>7899.9999999999991</v>
      </c>
      <c r="G1269" s="6">
        <f t="shared" si="20"/>
        <v>5822299.9999999991</v>
      </c>
    </row>
    <row r="1270" spans="1:7" ht="17.25" x14ac:dyDescent="0.3">
      <c r="A1270" s="22" t="s">
        <v>294</v>
      </c>
      <c r="B1270" s="3" t="s">
        <v>43</v>
      </c>
      <c r="C1270" s="4" t="s">
        <v>344</v>
      </c>
      <c r="D1270" s="3" t="s">
        <v>22</v>
      </c>
      <c r="E1270" s="7">
        <v>327</v>
      </c>
      <c r="F1270" s="5">
        <f>IFERROR(VLOOKUP(D1270, Sheet2!$A:$C, 3, FALSE), 0)</f>
        <v>5999.9999999999991</v>
      </c>
      <c r="G1270" s="6">
        <f t="shared" si="20"/>
        <v>1961999.9999999998</v>
      </c>
    </row>
    <row r="1271" spans="1:7" ht="17.25" x14ac:dyDescent="0.3">
      <c r="A1271" s="3" t="s">
        <v>294</v>
      </c>
      <c r="B1271" s="3" t="s">
        <v>33</v>
      </c>
      <c r="C1271" s="4" t="s">
        <v>341</v>
      </c>
      <c r="D1271" s="4" t="s">
        <v>68</v>
      </c>
      <c r="E1271" s="7">
        <v>201</v>
      </c>
      <c r="F1271" s="5">
        <f>IFERROR(VLOOKUP(D1271, Sheet2!$A:$C, 3, FALSE), 0)</f>
        <v>13400</v>
      </c>
      <c r="G1271" s="6">
        <f t="shared" si="20"/>
        <v>2693400</v>
      </c>
    </row>
    <row r="1272" spans="1:7" ht="17.25" x14ac:dyDescent="0.3">
      <c r="A1272" s="3" t="s">
        <v>294</v>
      </c>
      <c r="B1272" s="23" t="s">
        <v>33</v>
      </c>
      <c r="C1272" s="4" t="s">
        <v>344</v>
      </c>
      <c r="D1272" s="3" t="s">
        <v>139</v>
      </c>
      <c r="E1272" s="7">
        <v>354</v>
      </c>
      <c r="F1272" s="5">
        <f>IFERROR(VLOOKUP(D1272, Sheet2!$A:$C, 3, FALSE), 0)</f>
        <v>4363.6363636363631</v>
      </c>
      <c r="G1272" s="6">
        <f t="shared" si="20"/>
        <v>1544727.2727272725</v>
      </c>
    </row>
    <row r="1273" spans="1:7" ht="17.25" x14ac:dyDescent="0.3">
      <c r="A1273" s="3" t="s">
        <v>294</v>
      </c>
      <c r="B1273" s="3" t="s">
        <v>33</v>
      </c>
      <c r="C1273" s="4" t="s">
        <v>341</v>
      </c>
      <c r="D1273" s="4" t="s">
        <v>110</v>
      </c>
      <c r="E1273" s="7">
        <v>87</v>
      </c>
      <c r="F1273" s="5">
        <f>IFERROR(VLOOKUP(D1273, Sheet2!$A:$C, 3, FALSE), 0)</f>
        <v>2500</v>
      </c>
      <c r="G1273" s="6">
        <f t="shared" si="20"/>
        <v>217500</v>
      </c>
    </row>
    <row r="1274" spans="1:7" ht="17.25" x14ac:dyDescent="0.3">
      <c r="A1274" s="22" t="s">
        <v>294</v>
      </c>
      <c r="B1274" s="3" t="s">
        <v>18</v>
      </c>
      <c r="C1274" s="4" t="s">
        <v>341</v>
      </c>
      <c r="D1274" s="4" t="s">
        <v>17</v>
      </c>
      <c r="E1274" s="7">
        <v>116</v>
      </c>
      <c r="F1274" s="5">
        <f>IFERROR(VLOOKUP(D1274, Sheet2!$A:$C, 3, FALSE), 0)</f>
        <v>11700</v>
      </c>
      <c r="G1274" s="6">
        <f t="shared" si="20"/>
        <v>1357200</v>
      </c>
    </row>
    <row r="1275" spans="1:7" ht="17.25" x14ac:dyDescent="0.3">
      <c r="A1275" s="22" t="s">
        <v>294</v>
      </c>
      <c r="B1275" s="3" t="s">
        <v>31</v>
      </c>
      <c r="C1275" s="4" t="s">
        <v>337</v>
      </c>
      <c r="D1275" s="3" t="s">
        <v>6</v>
      </c>
      <c r="E1275" s="7">
        <v>770</v>
      </c>
      <c r="F1275" s="5">
        <f>IFERROR(VLOOKUP(D1275, Sheet2!$A:$C, 3, FALSE), 0)</f>
        <v>14999.999999999998</v>
      </c>
      <c r="G1275" s="6">
        <f t="shared" si="20"/>
        <v>11549999.999999998</v>
      </c>
    </row>
    <row r="1276" spans="1:7" ht="17.25" x14ac:dyDescent="0.3">
      <c r="A1276" s="3" t="s">
        <v>295</v>
      </c>
      <c r="B1276" s="3" t="s">
        <v>66</v>
      </c>
      <c r="C1276" s="4" t="s">
        <v>337</v>
      </c>
      <c r="D1276" s="3" t="s">
        <v>144</v>
      </c>
      <c r="E1276" s="7">
        <v>1253</v>
      </c>
      <c r="F1276" s="5">
        <f>IFERROR(VLOOKUP(D1276, Sheet2!$A:$C, 3, FALSE), 0)</f>
        <v>10272.727272727272</v>
      </c>
      <c r="G1276" s="6">
        <f t="shared" si="20"/>
        <v>12871727.272727272</v>
      </c>
    </row>
    <row r="1277" spans="1:7" ht="17.25" x14ac:dyDescent="0.3">
      <c r="A1277" s="22" t="s">
        <v>296</v>
      </c>
      <c r="B1277" s="3" t="s">
        <v>31</v>
      </c>
      <c r="C1277" s="4" t="s">
        <v>344</v>
      </c>
      <c r="D1277" s="3" t="s">
        <v>59</v>
      </c>
      <c r="E1277" s="7">
        <v>154</v>
      </c>
      <c r="F1277" s="5">
        <f>IFERROR(VLOOKUP(D1277, Sheet2!$A:$C, 3, FALSE), 0)</f>
        <v>4681.8181818181811</v>
      </c>
      <c r="G1277" s="6">
        <f t="shared" si="20"/>
        <v>720999.99999999988</v>
      </c>
    </row>
    <row r="1278" spans="1:7" ht="17.25" x14ac:dyDescent="0.3">
      <c r="A1278" s="22" t="s">
        <v>296</v>
      </c>
      <c r="B1278" s="3" t="s">
        <v>23</v>
      </c>
      <c r="C1278" s="4" t="s">
        <v>344</v>
      </c>
      <c r="D1278" s="3" t="s">
        <v>32</v>
      </c>
      <c r="E1278" s="7">
        <v>732</v>
      </c>
      <c r="F1278" s="5">
        <f>IFERROR(VLOOKUP(D1278, Sheet2!$A:$C, 3, FALSE), 0)</f>
        <v>4363.6363636363631</v>
      </c>
      <c r="G1278" s="6">
        <f t="shared" si="20"/>
        <v>3194181.8181818179</v>
      </c>
    </row>
    <row r="1279" spans="1:7" ht="17.25" x14ac:dyDescent="0.3">
      <c r="A1279" s="22" t="s">
        <v>296</v>
      </c>
      <c r="B1279" s="3" t="s">
        <v>30</v>
      </c>
      <c r="C1279" s="4" t="s">
        <v>342</v>
      </c>
      <c r="D1279" s="4" t="s">
        <v>61</v>
      </c>
      <c r="E1279" s="7">
        <v>78</v>
      </c>
      <c r="F1279" s="5">
        <f>IFERROR(VLOOKUP(D1279, Sheet2!$A:$C, 3, FALSE), 0)</f>
        <v>7363.6363636363631</v>
      </c>
      <c r="G1279" s="6">
        <f t="shared" si="20"/>
        <v>574363.63636363635</v>
      </c>
    </row>
    <row r="1280" spans="1:7" ht="17.25" x14ac:dyDescent="0.3">
      <c r="A1280" s="3" t="s">
        <v>296</v>
      </c>
      <c r="B1280" s="23" t="s">
        <v>33</v>
      </c>
      <c r="C1280" s="4" t="s">
        <v>215</v>
      </c>
      <c r="D1280" s="11" t="s">
        <v>264</v>
      </c>
      <c r="E1280" s="7">
        <v>458</v>
      </c>
      <c r="F1280" s="5">
        <f>IFERROR(VLOOKUP(D1280, Sheet2!$A:$C, 3, FALSE), 0)</f>
        <v>4454.545454545454</v>
      </c>
      <c r="G1280" s="6">
        <f t="shared" si="20"/>
        <v>2040181.8181818179</v>
      </c>
    </row>
    <row r="1281" spans="1:7" ht="17.25" x14ac:dyDescent="0.3">
      <c r="A1281" s="3" t="s">
        <v>296</v>
      </c>
      <c r="B1281" s="23" t="s">
        <v>33</v>
      </c>
      <c r="C1281" s="4" t="s">
        <v>342</v>
      </c>
      <c r="D1281" s="3" t="s">
        <v>61</v>
      </c>
      <c r="E1281" s="7">
        <v>76</v>
      </c>
      <c r="F1281" s="5">
        <f>IFERROR(VLOOKUP(D1281, Sheet2!$A:$C, 3, FALSE), 0)</f>
        <v>7363.6363636363631</v>
      </c>
      <c r="G1281" s="6">
        <f t="shared" si="20"/>
        <v>559636.36363636365</v>
      </c>
    </row>
    <row r="1282" spans="1:7" ht="17.25" x14ac:dyDescent="0.3">
      <c r="A1282" s="22" t="s">
        <v>296</v>
      </c>
      <c r="B1282" s="3" t="s">
        <v>51</v>
      </c>
      <c r="C1282" s="4" t="s">
        <v>341</v>
      </c>
      <c r="D1282" s="4" t="s">
        <v>110</v>
      </c>
      <c r="E1282" s="7">
        <v>188</v>
      </c>
      <c r="F1282" s="5">
        <f>IFERROR(VLOOKUP(D1282, Sheet2!$A:$C, 3, FALSE), 0)</f>
        <v>2500</v>
      </c>
      <c r="G1282" s="6">
        <f t="shared" si="20"/>
        <v>470000</v>
      </c>
    </row>
    <row r="1283" spans="1:7" ht="17.25" x14ac:dyDescent="0.3">
      <c r="A1283" s="3" t="s">
        <v>296</v>
      </c>
      <c r="B1283" s="3" t="s">
        <v>51</v>
      </c>
      <c r="C1283" s="4" t="s">
        <v>337</v>
      </c>
      <c r="D1283" s="3" t="s">
        <v>9</v>
      </c>
      <c r="E1283" s="7">
        <v>1287</v>
      </c>
      <c r="F1283" s="5">
        <f>IFERROR(VLOOKUP(D1283, Sheet2!$A:$C, 3, FALSE), 0)</f>
        <v>18636.363636363636</v>
      </c>
      <c r="G1283" s="6">
        <f t="shared" si="20"/>
        <v>23985000</v>
      </c>
    </row>
    <row r="1284" spans="1:7" ht="17.25" x14ac:dyDescent="0.3">
      <c r="A1284" s="3" t="s">
        <v>296</v>
      </c>
      <c r="B1284" s="3" t="s">
        <v>66</v>
      </c>
      <c r="C1284" s="4" t="s">
        <v>337</v>
      </c>
      <c r="D1284" s="3" t="s">
        <v>144</v>
      </c>
      <c r="E1284" s="7">
        <v>984</v>
      </c>
      <c r="F1284" s="5">
        <f>IFERROR(VLOOKUP(D1284, Sheet2!$A:$C, 3, FALSE), 0)</f>
        <v>10272.727272727272</v>
      </c>
      <c r="G1284" s="6">
        <f t="shared" si="20"/>
        <v>10108363.636363635</v>
      </c>
    </row>
    <row r="1285" spans="1:7" ht="17.25" x14ac:dyDescent="0.3">
      <c r="A1285" s="3" t="s">
        <v>297</v>
      </c>
      <c r="B1285" s="3" t="s">
        <v>66</v>
      </c>
      <c r="C1285" s="4" t="s">
        <v>339</v>
      </c>
      <c r="D1285" s="11" t="s">
        <v>67</v>
      </c>
      <c r="E1285" s="7">
        <v>773</v>
      </c>
      <c r="F1285" s="5">
        <f>IFERROR(VLOOKUP(D1285, Sheet2!$A:$C, 3, FALSE), 0)</f>
        <v>10818.181818181818</v>
      </c>
      <c r="G1285" s="6">
        <f t="shared" si="20"/>
        <v>8362454.5454545449</v>
      </c>
    </row>
    <row r="1286" spans="1:7" ht="17.25" x14ac:dyDescent="0.3">
      <c r="A1286" s="3" t="s">
        <v>297</v>
      </c>
      <c r="B1286" s="3" t="s">
        <v>99</v>
      </c>
      <c r="C1286" s="4" t="s">
        <v>340</v>
      </c>
      <c r="D1286" s="3" t="s">
        <v>49</v>
      </c>
      <c r="E1286" s="7">
        <v>113</v>
      </c>
      <c r="F1286" s="5">
        <f>IFERROR(VLOOKUP(D1286, Sheet2!$A:$C, 3, FALSE), 0)</f>
        <v>38000</v>
      </c>
      <c r="G1286" s="6">
        <f t="shared" si="20"/>
        <v>4294000</v>
      </c>
    </row>
    <row r="1287" spans="1:7" ht="17.25" x14ac:dyDescent="0.3">
      <c r="A1287" s="22" t="s">
        <v>297</v>
      </c>
      <c r="B1287" s="3" t="s">
        <v>99</v>
      </c>
      <c r="C1287" s="4" t="s">
        <v>337</v>
      </c>
      <c r="D1287" s="3" t="s">
        <v>101</v>
      </c>
      <c r="E1287" s="7">
        <v>20</v>
      </c>
      <c r="F1287" s="5">
        <f>IFERROR(VLOOKUP(D1287, Sheet2!$A:$C, 3, FALSE), 0)</f>
        <v>18090.909090909088</v>
      </c>
      <c r="G1287" s="6">
        <f t="shared" si="20"/>
        <v>361818.18181818177</v>
      </c>
    </row>
    <row r="1288" spans="1:7" ht="17.25" x14ac:dyDescent="0.3">
      <c r="A1288" s="22" t="s">
        <v>297</v>
      </c>
      <c r="B1288" s="3" t="s">
        <v>99</v>
      </c>
      <c r="C1288" s="4" t="s">
        <v>215</v>
      </c>
      <c r="D1288" s="3" t="s">
        <v>187</v>
      </c>
      <c r="E1288" s="7">
        <v>8</v>
      </c>
      <c r="F1288" s="5">
        <f>IFERROR(VLOOKUP(D1288, Sheet2!$A:$C, 3, FALSE), 0)</f>
        <v>18090.909090909088</v>
      </c>
      <c r="G1288" s="6">
        <f t="shared" si="20"/>
        <v>144727.27272727271</v>
      </c>
    </row>
    <row r="1289" spans="1:7" ht="17.25" x14ac:dyDescent="0.3">
      <c r="A1289" s="22" t="s">
        <v>297</v>
      </c>
      <c r="B1289" s="3" t="s">
        <v>99</v>
      </c>
      <c r="C1289" s="4" t="s">
        <v>215</v>
      </c>
      <c r="D1289" s="3" t="s">
        <v>116</v>
      </c>
      <c r="E1289" s="7">
        <v>192</v>
      </c>
      <c r="F1289" s="5">
        <f>IFERROR(VLOOKUP(D1289, Sheet2!$A:$C, 3, FALSE), 0)</f>
        <v>2045.4545454545453</v>
      </c>
      <c r="G1289" s="6">
        <f t="shared" si="20"/>
        <v>392727.27272727271</v>
      </c>
    </row>
    <row r="1290" spans="1:7" ht="17.25" x14ac:dyDescent="0.3">
      <c r="A1290" s="22" t="s">
        <v>297</v>
      </c>
      <c r="B1290" s="3" t="s">
        <v>99</v>
      </c>
      <c r="C1290" s="4" t="s">
        <v>215</v>
      </c>
      <c r="D1290" s="3" t="s">
        <v>179</v>
      </c>
      <c r="E1290" s="7">
        <v>192</v>
      </c>
      <c r="F1290" s="5">
        <f>IFERROR(VLOOKUP(D1290, Sheet2!$A:$C, 3, FALSE), 0)</f>
        <v>2136.363636363636</v>
      </c>
      <c r="G1290" s="6">
        <f t="shared" si="20"/>
        <v>410181.81818181812</v>
      </c>
    </row>
    <row r="1291" spans="1:7" ht="17.25" x14ac:dyDescent="0.3">
      <c r="A1291" s="3" t="s">
        <v>297</v>
      </c>
      <c r="B1291" s="3" t="s">
        <v>24</v>
      </c>
      <c r="C1291" s="4" t="s">
        <v>338</v>
      </c>
      <c r="D1291" s="11" t="s">
        <v>36</v>
      </c>
      <c r="E1291" s="10">
        <v>290</v>
      </c>
      <c r="F1291" s="5">
        <f>IFERROR(VLOOKUP(D1291, Sheet2!$A:$C, 3, FALSE), 0)</f>
        <v>7899.9999999999991</v>
      </c>
      <c r="G1291" s="6">
        <f t="shared" si="20"/>
        <v>2290999.9999999995</v>
      </c>
    </row>
    <row r="1292" spans="1:7" ht="17.25" x14ac:dyDescent="0.3">
      <c r="A1292" s="22" t="s">
        <v>297</v>
      </c>
      <c r="B1292" s="3" t="s">
        <v>314</v>
      </c>
      <c r="C1292" s="4" t="s">
        <v>338</v>
      </c>
      <c r="D1292" s="3" t="s">
        <v>36</v>
      </c>
      <c r="E1292" s="7">
        <v>250</v>
      </c>
      <c r="F1292" s="5">
        <f>IFERROR(VLOOKUP(D1292, Sheet2!$A:$C, 3, FALSE), 0)</f>
        <v>7899.9999999999991</v>
      </c>
      <c r="G1292" s="6">
        <f t="shared" si="20"/>
        <v>1974999.9999999998</v>
      </c>
    </row>
    <row r="1293" spans="1:7" ht="17.25" x14ac:dyDescent="0.3">
      <c r="A1293" s="3" t="s">
        <v>298</v>
      </c>
      <c r="B1293" s="3" t="s">
        <v>31</v>
      </c>
      <c r="C1293" s="4" t="s">
        <v>337</v>
      </c>
      <c r="D1293" s="3" t="s">
        <v>186</v>
      </c>
      <c r="E1293" s="7">
        <v>150</v>
      </c>
      <c r="F1293" s="5">
        <f>IFERROR(VLOOKUP(D1293, Sheet2!$A:$C, 3, FALSE), 0)</f>
        <v>14545.454545454544</v>
      </c>
      <c r="G1293" s="6">
        <f t="shared" si="20"/>
        <v>2181818.1818181816</v>
      </c>
    </row>
    <row r="1294" spans="1:7" ht="17.25" x14ac:dyDescent="0.3">
      <c r="A1294" s="3" t="s">
        <v>298</v>
      </c>
      <c r="B1294" s="3" t="s">
        <v>25</v>
      </c>
      <c r="C1294" s="4" t="s">
        <v>343</v>
      </c>
      <c r="D1294" s="3" t="s">
        <v>45</v>
      </c>
      <c r="E1294" s="7">
        <v>711</v>
      </c>
      <c r="F1294" s="5">
        <f>IFERROR(VLOOKUP(D1294, Sheet2!$A:$C, 3, FALSE), 0)</f>
        <v>10909.090909090908</v>
      </c>
      <c r="G1294" s="6">
        <f t="shared" si="20"/>
        <v>7756363.6363636358</v>
      </c>
    </row>
    <row r="1295" spans="1:7" ht="17.25" x14ac:dyDescent="0.3">
      <c r="A1295" s="22" t="s">
        <v>298</v>
      </c>
      <c r="B1295" s="3" t="s">
        <v>11</v>
      </c>
      <c r="C1295" s="4" t="s">
        <v>344</v>
      </c>
      <c r="D1295" s="3" t="s">
        <v>53</v>
      </c>
      <c r="E1295" s="7">
        <v>832</v>
      </c>
      <c r="F1295" s="5">
        <f>IFERROR(VLOOKUP(D1295, Sheet2!$A:$C, 3, FALSE), 0)</f>
        <v>5818.181818181818</v>
      </c>
      <c r="G1295" s="6">
        <f t="shared" si="20"/>
        <v>4840727.2727272725</v>
      </c>
    </row>
    <row r="1296" spans="1:7" ht="17.25" x14ac:dyDescent="0.3">
      <c r="A1296" s="22" t="s">
        <v>298</v>
      </c>
      <c r="B1296" s="3" t="s">
        <v>11</v>
      </c>
      <c r="C1296" s="4" t="s">
        <v>337</v>
      </c>
      <c r="D1296" s="3" t="s">
        <v>78</v>
      </c>
      <c r="E1296" s="7">
        <v>1726</v>
      </c>
      <c r="F1296" s="5">
        <f>IFERROR(VLOOKUP(D1296, Sheet2!$A:$C, 3, FALSE), 0)</f>
        <v>14999.999999999998</v>
      </c>
      <c r="G1296" s="6">
        <f t="shared" si="20"/>
        <v>25889999.999999996</v>
      </c>
    </row>
    <row r="1297" spans="1:7" ht="17.25" x14ac:dyDescent="0.3">
      <c r="A1297" s="22" t="s">
        <v>298</v>
      </c>
      <c r="B1297" s="23" t="s">
        <v>33</v>
      </c>
      <c r="C1297" s="4" t="s">
        <v>344</v>
      </c>
      <c r="D1297" s="3" t="s">
        <v>120</v>
      </c>
      <c r="E1297" s="7">
        <v>418</v>
      </c>
      <c r="F1297" s="5">
        <f>IFERROR(VLOOKUP(D1297, Sheet2!$A:$C, 3, FALSE), 0)</f>
        <v>6272.7272727272721</v>
      </c>
      <c r="G1297" s="6">
        <f t="shared" si="20"/>
        <v>2621999.9999999995</v>
      </c>
    </row>
    <row r="1298" spans="1:7" ht="17.25" x14ac:dyDescent="0.3">
      <c r="A1298" s="22" t="s">
        <v>298</v>
      </c>
      <c r="B1298" s="3" t="s">
        <v>33</v>
      </c>
      <c r="C1298" s="4" t="s">
        <v>341</v>
      </c>
      <c r="D1298" s="4" t="s">
        <v>110</v>
      </c>
      <c r="E1298" s="7">
        <v>61</v>
      </c>
      <c r="F1298" s="5">
        <f>IFERROR(VLOOKUP(D1298, Sheet2!$A:$C, 3, FALSE), 0)</f>
        <v>2500</v>
      </c>
      <c r="G1298" s="6">
        <f t="shared" si="20"/>
        <v>152500</v>
      </c>
    </row>
    <row r="1299" spans="1:7" ht="17.25" x14ac:dyDescent="0.3">
      <c r="A1299" s="22" t="s">
        <v>298</v>
      </c>
      <c r="B1299" s="3" t="s">
        <v>93</v>
      </c>
      <c r="C1299" s="4" t="s">
        <v>341</v>
      </c>
      <c r="D1299" s="4" t="s">
        <v>17</v>
      </c>
      <c r="E1299" s="7">
        <v>29</v>
      </c>
      <c r="F1299" s="5">
        <f>IFERROR(VLOOKUP(D1299, Sheet2!$A:$C, 3, FALSE), 0)</f>
        <v>11700</v>
      </c>
      <c r="G1299" s="6">
        <f t="shared" si="20"/>
        <v>339300</v>
      </c>
    </row>
    <row r="1300" spans="1:7" ht="17.25" x14ac:dyDescent="0.3">
      <c r="A1300" s="3" t="s">
        <v>299</v>
      </c>
      <c r="B1300" s="3" t="s">
        <v>93</v>
      </c>
      <c r="C1300" s="4" t="s">
        <v>337</v>
      </c>
      <c r="D1300" s="3" t="s">
        <v>186</v>
      </c>
      <c r="E1300" s="7">
        <v>2121</v>
      </c>
      <c r="F1300" s="5">
        <f>IFERROR(VLOOKUP(D1300, Sheet2!$A:$C, 3, FALSE), 0)</f>
        <v>14545.454545454544</v>
      </c>
      <c r="G1300" s="6">
        <f t="shared" si="20"/>
        <v>30850909.09090909</v>
      </c>
    </row>
    <row r="1301" spans="1:7" ht="17.25" x14ac:dyDescent="0.3">
      <c r="A1301" s="3" t="s">
        <v>299</v>
      </c>
      <c r="B1301" s="3" t="s">
        <v>21</v>
      </c>
      <c r="C1301" s="4" t="s">
        <v>338</v>
      </c>
      <c r="D1301" s="3" t="s">
        <v>36</v>
      </c>
      <c r="E1301" s="7">
        <v>1061</v>
      </c>
      <c r="F1301" s="5">
        <f>IFERROR(VLOOKUP(D1301, Sheet2!$A:$C, 3, FALSE), 0)</f>
        <v>7899.9999999999991</v>
      </c>
      <c r="G1301" s="6">
        <f t="shared" si="20"/>
        <v>8381899.9999999991</v>
      </c>
    </row>
    <row r="1302" spans="1:7" ht="17.25" x14ac:dyDescent="0.3">
      <c r="A1302" s="3" t="s">
        <v>299</v>
      </c>
      <c r="B1302" s="3" t="s">
        <v>23</v>
      </c>
      <c r="C1302" s="4" t="s">
        <v>344</v>
      </c>
      <c r="D1302" s="3" t="s">
        <v>22</v>
      </c>
      <c r="E1302" s="7">
        <v>119</v>
      </c>
      <c r="F1302" s="5">
        <f>IFERROR(VLOOKUP(D1302, Sheet2!$A:$C, 3, FALSE), 0)</f>
        <v>5999.9999999999991</v>
      </c>
      <c r="G1302" s="6">
        <f t="shared" si="20"/>
        <v>713999.99999999988</v>
      </c>
    </row>
    <row r="1303" spans="1:7" ht="17.25" x14ac:dyDescent="0.3">
      <c r="A1303" s="3" t="s">
        <v>299</v>
      </c>
      <c r="B1303" s="3" t="s">
        <v>23</v>
      </c>
      <c r="C1303" s="4" t="s">
        <v>342</v>
      </c>
      <c r="D1303" s="4" t="s">
        <v>61</v>
      </c>
      <c r="E1303" s="7">
        <v>55</v>
      </c>
      <c r="F1303" s="5">
        <f>IFERROR(VLOOKUP(D1303, Sheet2!$A:$C, 3, FALSE), 0)</f>
        <v>7363.6363636363631</v>
      </c>
      <c r="G1303" s="6">
        <f t="shared" si="20"/>
        <v>404999.99999999994</v>
      </c>
    </row>
    <row r="1304" spans="1:7" ht="17.25" x14ac:dyDescent="0.3">
      <c r="A1304" s="3" t="s">
        <v>299</v>
      </c>
      <c r="B1304" s="3" t="s">
        <v>75</v>
      </c>
      <c r="C1304" s="4" t="s">
        <v>342</v>
      </c>
      <c r="D1304" s="4" t="s">
        <v>61</v>
      </c>
      <c r="E1304" s="7">
        <v>47</v>
      </c>
      <c r="F1304" s="5">
        <f>IFERROR(VLOOKUP(D1304, Sheet2!$A:$C, 3, FALSE), 0)</f>
        <v>7363.6363636363631</v>
      </c>
      <c r="G1304" s="6">
        <f t="shared" si="20"/>
        <v>346090.90909090906</v>
      </c>
    </row>
    <row r="1305" spans="1:7" ht="17.25" x14ac:dyDescent="0.3">
      <c r="A1305" s="3" t="s">
        <v>299</v>
      </c>
      <c r="B1305" s="3" t="s">
        <v>75</v>
      </c>
      <c r="C1305" s="4" t="s">
        <v>337</v>
      </c>
      <c r="D1305" s="3" t="s">
        <v>86</v>
      </c>
      <c r="E1305" s="7">
        <v>837</v>
      </c>
      <c r="F1305" s="5">
        <f>IFERROR(VLOOKUP(D1305, Sheet2!$A:$C, 3, FALSE), 0)</f>
        <v>14999.999999999998</v>
      </c>
      <c r="G1305" s="6">
        <f t="shared" si="20"/>
        <v>12554999.999999998</v>
      </c>
    </row>
    <row r="1306" spans="1:7" ht="17.25" x14ac:dyDescent="0.3">
      <c r="A1306" s="22" t="s">
        <v>299</v>
      </c>
      <c r="B1306" s="3" t="s">
        <v>27</v>
      </c>
      <c r="C1306" s="4" t="s">
        <v>215</v>
      </c>
      <c r="D1306" s="11" t="s">
        <v>264</v>
      </c>
      <c r="E1306" s="7">
        <v>258</v>
      </c>
      <c r="F1306" s="5">
        <f>IFERROR(VLOOKUP(D1306, Sheet2!$A:$C, 3, FALSE), 0)</f>
        <v>4454.545454545454</v>
      </c>
      <c r="G1306" s="6">
        <f t="shared" si="20"/>
        <v>1149272.7272727271</v>
      </c>
    </row>
    <row r="1307" spans="1:7" ht="17.25" x14ac:dyDescent="0.3">
      <c r="A1307" s="3" t="s">
        <v>299</v>
      </c>
      <c r="B1307" s="24" t="s">
        <v>30</v>
      </c>
      <c r="C1307" s="4" t="s">
        <v>344</v>
      </c>
      <c r="D1307" s="3" t="s">
        <v>40</v>
      </c>
      <c r="E1307" s="7">
        <v>580</v>
      </c>
      <c r="F1307" s="5">
        <f>IFERROR(VLOOKUP(D1307, Sheet2!$A:$C, 3, FALSE), 0)</f>
        <v>4363.6363636363631</v>
      </c>
      <c r="G1307" s="6">
        <f t="shared" si="20"/>
        <v>2530909.0909090904</v>
      </c>
    </row>
    <row r="1308" spans="1:7" ht="17.25" x14ac:dyDescent="0.3">
      <c r="A1308" s="22" t="s">
        <v>299</v>
      </c>
      <c r="B1308" s="3" t="s">
        <v>60</v>
      </c>
      <c r="C1308" s="4" t="s">
        <v>339</v>
      </c>
      <c r="D1308" s="3" t="s">
        <v>80</v>
      </c>
      <c r="E1308" s="7">
        <v>309</v>
      </c>
      <c r="F1308" s="5">
        <f>IFERROR(VLOOKUP(D1308, Sheet2!$A:$C, 3, FALSE), 0)</f>
        <v>18272.727272727272</v>
      </c>
      <c r="G1308" s="6">
        <f t="shared" ref="G1308:G1371" si="21">E1308*F1308</f>
        <v>5646272.7272727275</v>
      </c>
    </row>
    <row r="1309" spans="1:7" ht="17.25" x14ac:dyDescent="0.3">
      <c r="A1309" s="22" t="s">
        <v>299</v>
      </c>
      <c r="B1309" s="3" t="s">
        <v>60</v>
      </c>
      <c r="C1309" s="4" t="s">
        <v>342</v>
      </c>
      <c r="D1309" s="3" t="s">
        <v>61</v>
      </c>
      <c r="E1309" s="7">
        <v>101</v>
      </c>
      <c r="F1309" s="5">
        <f>IFERROR(VLOOKUP(D1309, Sheet2!$A:$C, 3, FALSE), 0)</f>
        <v>7363.6363636363631</v>
      </c>
      <c r="G1309" s="6">
        <f t="shared" si="21"/>
        <v>743727.27272727271</v>
      </c>
    </row>
    <row r="1310" spans="1:7" ht="17.25" x14ac:dyDescent="0.3">
      <c r="A1310" s="3" t="s">
        <v>299</v>
      </c>
      <c r="B1310" s="3" t="s">
        <v>19</v>
      </c>
      <c r="C1310" s="4" t="s">
        <v>342</v>
      </c>
      <c r="D1310" s="3" t="s">
        <v>35</v>
      </c>
      <c r="E1310" s="7">
        <v>163</v>
      </c>
      <c r="F1310" s="5">
        <f>IFERROR(VLOOKUP(D1310, Sheet2!$A:$C, 3, FALSE), 0)</f>
        <v>8363.6363636363621</v>
      </c>
      <c r="G1310" s="6">
        <f t="shared" si="21"/>
        <v>1363272.7272727271</v>
      </c>
    </row>
    <row r="1311" spans="1:7" ht="17.25" x14ac:dyDescent="0.3">
      <c r="A1311" s="22" t="s">
        <v>300</v>
      </c>
      <c r="B1311" s="3" t="s">
        <v>21</v>
      </c>
      <c r="C1311" s="4" t="s">
        <v>215</v>
      </c>
      <c r="D1311" s="3" t="s">
        <v>264</v>
      </c>
      <c r="E1311" s="7">
        <v>1119</v>
      </c>
      <c r="F1311" s="5">
        <f>IFERROR(VLOOKUP(D1311, Sheet2!$A:$C, 3, FALSE), 0)</f>
        <v>4454.545454545454</v>
      </c>
      <c r="G1311" s="6">
        <f t="shared" si="21"/>
        <v>4984636.3636363633</v>
      </c>
    </row>
    <row r="1312" spans="1:7" ht="17.25" x14ac:dyDescent="0.3">
      <c r="A1312" s="22" t="s">
        <v>300</v>
      </c>
      <c r="B1312" s="3" t="s">
        <v>46</v>
      </c>
      <c r="C1312" s="4" t="s">
        <v>339</v>
      </c>
      <c r="D1312" s="3" t="s">
        <v>76</v>
      </c>
      <c r="E1312" s="7">
        <v>3000</v>
      </c>
      <c r="F1312" s="5">
        <f>IFERROR(VLOOKUP(D1312, Sheet2!$A:$C, 3, FALSE), 0)</f>
        <v>8636.363636363636</v>
      </c>
      <c r="G1312" s="6">
        <f t="shared" si="21"/>
        <v>25909090.909090906</v>
      </c>
    </row>
    <row r="1313" spans="1:7" ht="17.25" x14ac:dyDescent="0.3">
      <c r="A1313" s="3" t="s">
        <v>300</v>
      </c>
      <c r="B1313" s="3" t="s">
        <v>31</v>
      </c>
      <c r="C1313" s="4" t="s">
        <v>337</v>
      </c>
      <c r="D1313" s="3" t="s">
        <v>144</v>
      </c>
      <c r="E1313" s="7">
        <v>1888</v>
      </c>
      <c r="F1313" s="5">
        <f>IFERROR(VLOOKUP(D1313, Sheet2!$A:$C, 3, FALSE), 0)</f>
        <v>10272.727272727272</v>
      </c>
      <c r="G1313" s="6">
        <f t="shared" si="21"/>
        <v>19394909.09090909</v>
      </c>
    </row>
    <row r="1314" spans="1:7" ht="17.25" x14ac:dyDescent="0.3">
      <c r="A1314" s="22" t="s">
        <v>300</v>
      </c>
      <c r="B1314" s="3" t="s">
        <v>31</v>
      </c>
      <c r="C1314" s="4" t="s">
        <v>344</v>
      </c>
      <c r="D1314" s="3" t="s">
        <v>32</v>
      </c>
      <c r="E1314" s="7">
        <v>353</v>
      </c>
      <c r="F1314" s="5">
        <f>IFERROR(VLOOKUP(D1314, Sheet2!$A:$C, 3, FALSE), 0)</f>
        <v>4363.6363636363631</v>
      </c>
      <c r="G1314" s="6">
        <f t="shared" si="21"/>
        <v>1540363.6363636362</v>
      </c>
    </row>
    <row r="1315" spans="1:7" ht="17.25" x14ac:dyDescent="0.3">
      <c r="A1315" s="22" t="s">
        <v>300</v>
      </c>
      <c r="B1315" s="3" t="s">
        <v>25</v>
      </c>
      <c r="C1315" s="4" t="s">
        <v>342</v>
      </c>
      <c r="D1315" s="3" t="s">
        <v>35</v>
      </c>
      <c r="E1315" s="7">
        <v>288</v>
      </c>
      <c r="F1315" s="5">
        <f>IFERROR(VLOOKUP(D1315, Sheet2!$A:$C, 3, FALSE), 0)</f>
        <v>8363.6363636363621</v>
      </c>
      <c r="G1315" s="6">
        <f t="shared" si="21"/>
        <v>2408727.2727272725</v>
      </c>
    </row>
    <row r="1316" spans="1:7" ht="17.25" x14ac:dyDescent="0.3">
      <c r="A1316" s="3" t="s">
        <v>300</v>
      </c>
      <c r="B1316" s="3" t="s">
        <v>25</v>
      </c>
      <c r="C1316" s="4" t="s">
        <v>337</v>
      </c>
      <c r="D1316" s="3" t="s">
        <v>70</v>
      </c>
      <c r="E1316" s="7">
        <v>842</v>
      </c>
      <c r="F1316" s="5">
        <f>IFERROR(VLOOKUP(D1316, Sheet2!$A:$C, 3, FALSE), 0)</f>
        <v>18636.363636363636</v>
      </c>
      <c r="G1316" s="6">
        <f t="shared" si="21"/>
        <v>15691818.181818182</v>
      </c>
    </row>
    <row r="1317" spans="1:7" ht="17.25" x14ac:dyDescent="0.3">
      <c r="A1317" s="22" t="s">
        <v>300</v>
      </c>
      <c r="B1317" s="3" t="s">
        <v>24</v>
      </c>
      <c r="C1317" s="4" t="s">
        <v>337</v>
      </c>
      <c r="D1317" s="3" t="s">
        <v>79</v>
      </c>
      <c r="E1317" s="7">
        <v>2</v>
      </c>
      <c r="F1317" s="5">
        <f>IFERROR(VLOOKUP(D1317, Sheet2!$A:$C, 3, FALSE), 0)</f>
        <v>21363.63636363636</v>
      </c>
      <c r="G1317" s="6">
        <f t="shared" si="21"/>
        <v>42727.272727272721</v>
      </c>
    </row>
    <row r="1318" spans="1:7" ht="17.25" x14ac:dyDescent="0.3">
      <c r="A1318" s="3" t="s">
        <v>300</v>
      </c>
      <c r="B1318" s="3" t="s">
        <v>23</v>
      </c>
      <c r="C1318" s="4" t="s">
        <v>344</v>
      </c>
      <c r="D1318" s="3" t="s">
        <v>22</v>
      </c>
      <c r="E1318" s="7">
        <v>103</v>
      </c>
      <c r="F1318" s="5">
        <f>IFERROR(VLOOKUP(D1318, Sheet2!$A:$C, 3, FALSE), 0)</f>
        <v>5999.9999999999991</v>
      </c>
      <c r="G1318" s="6">
        <f t="shared" si="21"/>
        <v>617999.99999999988</v>
      </c>
    </row>
    <row r="1319" spans="1:7" ht="17.25" x14ac:dyDescent="0.3">
      <c r="A1319" s="22" t="s">
        <v>300</v>
      </c>
      <c r="B1319" s="3" t="s">
        <v>102</v>
      </c>
      <c r="C1319" s="4" t="s">
        <v>342</v>
      </c>
      <c r="D1319" s="4" t="s">
        <v>61</v>
      </c>
      <c r="E1319" s="7">
        <v>49</v>
      </c>
      <c r="F1319" s="5">
        <f>IFERROR(VLOOKUP(D1319, Sheet2!$A:$C, 3, FALSE), 0)</f>
        <v>7363.6363636363631</v>
      </c>
      <c r="G1319" s="6">
        <f t="shared" si="21"/>
        <v>360818.18181818177</v>
      </c>
    </row>
    <row r="1320" spans="1:7" ht="17.25" x14ac:dyDescent="0.3">
      <c r="A1320" s="22" t="s">
        <v>300</v>
      </c>
      <c r="B1320" s="3" t="s">
        <v>102</v>
      </c>
      <c r="C1320" s="4" t="s">
        <v>337</v>
      </c>
      <c r="D1320" s="3" t="s">
        <v>186</v>
      </c>
      <c r="E1320" s="7">
        <v>612</v>
      </c>
      <c r="F1320" s="5">
        <f>IFERROR(VLOOKUP(D1320, Sheet2!$A:$C, 3, FALSE), 0)</f>
        <v>14545.454545454544</v>
      </c>
      <c r="G1320" s="6">
        <f t="shared" si="21"/>
        <v>8901818.1818181816</v>
      </c>
    </row>
    <row r="1321" spans="1:7" ht="17.25" x14ac:dyDescent="0.3">
      <c r="A1321" s="3" t="s">
        <v>300</v>
      </c>
      <c r="B1321" s="3" t="s">
        <v>29</v>
      </c>
      <c r="C1321" s="4" t="s">
        <v>338</v>
      </c>
      <c r="D1321" s="3" t="s">
        <v>36</v>
      </c>
      <c r="E1321" s="7">
        <v>313</v>
      </c>
      <c r="F1321" s="5">
        <f>IFERROR(VLOOKUP(D1321, Sheet2!$A:$C, 3, FALSE), 0)</f>
        <v>7899.9999999999991</v>
      </c>
      <c r="G1321" s="6">
        <f t="shared" si="21"/>
        <v>2472699.9999999995</v>
      </c>
    </row>
    <row r="1322" spans="1:7" ht="17.25" x14ac:dyDescent="0.3">
      <c r="A1322" s="3" t="s">
        <v>300</v>
      </c>
      <c r="B1322" s="3" t="s">
        <v>16</v>
      </c>
      <c r="C1322" s="4" t="s">
        <v>344</v>
      </c>
      <c r="D1322" s="3" t="s">
        <v>40</v>
      </c>
      <c r="E1322" s="7">
        <v>491</v>
      </c>
      <c r="F1322" s="5">
        <f>IFERROR(VLOOKUP(D1322, Sheet2!$A:$C, 3, FALSE), 0)</f>
        <v>4363.6363636363631</v>
      </c>
      <c r="G1322" s="6">
        <f t="shared" si="21"/>
        <v>2142545.4545454541</v>
      </c>
    </row>
    <row r="1323" spans="1:7" ht="17.25" x14ac:dyDescent="0.3">
      <c r="A1323" s="3" t="s">
        <v>300</v>
      </c>
      <c r="B1323" s="3" t="s">
        <v>11</v>
      </c>
      <c r="C1323" s="4" t="s">
        <v>338</v>
      </c>
      <c r="D1323" s="3" t="s">
        <v>36</v>
      </c>
      <c r="E1323" s="7">
        <v>849</v>
      </c>
      <c r="F1323" s="5">
        <f>IFERROR(VLOOKUP(D1323, Sheet2!$A:$C, 3, FALSE), 0)</f>
        <v>7899.9999999999991</v>
      </c>
      <c r="G1323" s="6">
        <f t="shared" si="21"/>
        <v>6707099.9999999991</v>
      </c>
    </row>
    <row r="1324" spans="1:7" ht="17.25" x14ac:dyDescent="0.3">
      <c r="A1324" s="3" t="s">
        <v>300</v>
      </c>
      <c r="B1324" s="3" t="s">
        <v>63</v>
      </c>
      <c r="C1324" s="4" t="s">
        <v>344</v>
      </c>
      <c r="D1324" s="3" t="s">
        <v>39</v>
      </c>
      <c r="E1324" s="7">
        <v>202</v>
      </c>
      <c r="F1324" s="5">
        <f>IFERROR(VLOOKUP(D1324, Sheet2!$A:$C, 3, FALSE), 0)</f>
        <v>3863.6363636363635</v>
      </c>
      <c r="G1324" s="6">
        <f t="shared" si="21"/>
        <v>780454.54545454541</v>
      </c>
    </row>
    <row r="1325" spans="1:7" ht="17.25" x14ac:dyDescent="0.3">
      <c r="A1325" s="3" t="s">
        <v>300</v>
      </c>
      <c r="B1325" s="3" t="s">
        <v>43</v>
      </c>
      <c r="C1325" s="4" t="s">
        <v>344</v>
      </c>
      <c r="D1325" s="3" t="s">
        <v>313</v>
      </c>
      <c r="E1325" s="7">
        <v>6975</v>
      </c>
      <c r="F1325" s="5">
        <f>IFERROR(VLOOKUP(D1325, Sheet2!$A:$C, 3, FALSE), 0)</f>
        <v>727.27272727272725</v>
      </c>
      <c r="G1325" s="6">
        <f t="shared" si="21"/>
        <v>5072727.2727272725</v>
      </c>
    </row>
    <row r="1326" spans="1:7" ht="17.25" x14ac:dyDescent="0.3">
      <c r="A1326" s="3" t="s">
        <v>300</v>
      </c>
      <c r="B1326" s="3" t="s">
        <v>14</v>
      </c>
      <c r="C1326" s="4" t="s">
        <v>344</v>
      </c>
      <c r="D1326" s="9" t="s">
        <v>22</v>
      </c>
      <c r="E1326" s="7">
        <v>70</v>
      </c>
      <c r="F1326" s="5">
        <f>IFERROR(VLOOKUP(D1326, Sheet2!$A:$C, 3, FALSE), 0)</f>
        <v>5999.9999999999991</v>
      </c>
      <c r="G1326" s="6">
        <f t="shared" si="21"/>
        <v>419999.99999999994</v>
      </c>
    </row>
    <row r="1327" spans="1:7" ht="17.25" x14ac:dyDescent="0.3">
      <c r="A1327" s="3" t="s">
        <v>300</v>
      </c>
      <c r="B1327" s="3" t="s">
        <v>33</v>
      </c>
      <c r="C1327" s="4" t="s">
        <v>344</v>
      </c>
      <c r="D1327" s="3" t="s">
        <v>32</v>
      </c>
      <c r="E1327" s="7">
        <v>567</v>
      </c>
      <c r="F1327" s="5">
        <f>IFERROR(VLOOKUP(D1327, Sheet2!$A:$C, 3, FALSE), 0)</f>
        <v>4363.6363636363631</v>
      </c>
      <c r="G1327" s="6">
        <f t="shared" si="21"/>
        <v>2474181.8181818179</v>
      </c>
    </row>
    <row r="1328" spans="1:7" ht="17.25" x14ac:dyDescent="0.3">
      <c r="A1328" s="3" t="s">
        <v>300</v>
      </c>
      <c r="B1328" s="3" t="s">
        <v>95</v>
      </c>
      <c r="C1328" s="4" t="s">
        <v>341</v>
      </c>
      <c r="D1328" s="4" t="s">
        <v>17</v>
      </c>
      <c r="E1328" s="7">
        <v>33</v>
      </c>
      <c r="F1328" s="5">
        <f>IFERROR(VLOOKUP(D1328, Sheet2!$A:$C, 3, FALSE), 0)</f>
        <v>11700</v>
      </c>
      <c r="G1328" s="6">
        <f t="shared" si="21"/>
        <v>386100</v>
      </c>
    </row>
    <row r="1329" spans="1:7" ht="17.25" x14ac:dyDescent="0.3">
      <c r="A1329" s="22" t="s">
        <v>300</v>
      </c>
      <c r="B1329" s="3" t="s">
        <v>103</v>
      </c>
      <c r="C1329" s="4" t="s">
        <v>344</v>
      </c>
      <c r="D1329" s="3" t="s">
        <v>53</v>
      </c>
      <c r="E1329" s="7">
        <v>526</v>
      </c>
      <c r="F1329" s="5">
        <f>IFERROR(VLOOKUP(D1329, Sheet2!$A:$C, 3, FALSE), 0)</f>
        <v>5818.181818181818</v>
      </c>
      <c r="G1329" s="6">
        <f t="shared" si="21"/>
        <v>3060363.6363636362</v>
      </c>
    </row>
    <row r="1330" spans="1:7" ht="17.25" x14ac:dyDescent="0.3">
      <c r="A1330" s="22" t="s">
        <v>301</v>
      </c>
      <c r="B1330" s="3" t="s">
        <v>30</v>
      </c>
      <c r="C1330" s="4" t="s">
        <v>338</v>
      </c>
      <c r="D1330" s="3" t="s">
        <v>36</v>
      </c>
      <c r="E1330" s="7">
        <v>660</v>
      </c>
      <c r="F1330" s="5">
        <f>IFERROR(VLOOKUP(D1330, Sheet2!$A:$C, 3, FALSE), 0)</f>
        <v>7899.9999999999991</v>
      </c>
      <c r="G1330" s="6">
        <f t="shared" si="21"/>
        <v>5213999.9999999991</v>
      </c>
    </row>
    <row r="1331" spans="1:7" ht="17.25" x14ac:dyDescent="0.3">
      <c r="A1331" s="3" t="s">
        <v>301</v>
      </c>
      <c r="B1331" s="3" t="s">
        <v>8</v>
      </c>
      <c r="C1331" s="4" t="s">
        <v>215</v>
      </c>
      <c r="D1331" s="11" t="s">
        <v>264</v>
      </c>
      <c r="E1331" s="7">
        <v>201</v>
      </c>
      <c r="F1331" s="5">
        <f>IFERROR(VLOOKUP(D1331, Sheet2!$A:$C, 3, FALSE), 0)</f>
        <v>4454.545454545454</v>
      </c>
      <c r="G1331" s="6">
        <f t="shared" si="21"/>
        <v>895363.63636363624</v>
      </c>
    </row>
    <row r="1332" spans="1:7" ht="17.25" x14ac:dyDescent="0.3">
      <c r="A1332" s="3" t="s">
        <v>301</v>
      </c>
      <c r="B1332" s="3" t="s">
        <v>33</v>
      </c>
      <c r="C1332" s="4" t="s">
        <v>337</v>
      </c>
      <c r="D1332" s="3" t="s">
        <v>78</v>
      </c>
      <c r="E1332" s="7">
        <v>675</v>
      </c>
      <c r="F1332" s="5">
        <f>IFERROR(VLOOKUP(D1332, Sheet2!$A:$C, 3, FALSE), 0)</f>
        <v>14999.999999999998</v>
      </c>
      <c r="G1332" s="6">
        <f t="shared" si="21"/>
        <v>10124999.999999998</v>
      </c>
    </row>
    <row r="1333" spans="1:7" ht="17.25" x14ac:dyDescent="0.3">
      <c r="A1333" s="3" t="s">
        <v>301</v>
      </c>
      <c r="B1333" s="23" t="s">
        <v>33</v>
      </c>
      <c r="C1333" s="4" t="s">
        <v>344</v>
      </c>
      <c r="D1333" s="3" t="s">
        <v>44</v>
      </c>
      <c r="E1333" s="7">
        <v>102</v>
      </c>
      <c r="F1333" s="5">
        <f>IFERROR(VLOOKUP(D1333, Sheet2!$A:$C, 3, FALSE), 0)</f>
        <v>5909.090909090909</v>
      </c>
      <c r="G1333" s="6">
        <f t="shared" si="21"/>
        <v>602727.27272727271</v>
      </c>
    </row>
    <row r="1334" spans="1:7" ht="17.25" x14ac:dyDescent="0.3">
      <c r="A1334" s="3" t="s">
        <v>301</v>
      </c>
      <c r="B1334" s="3" t="s">
        <v>33</v>
      </c>
      <c r="C1334" s="4" t="s">
        <v>341</v>
      </c>
      <c r="D1334" s="4" t="s">
        <v>110</v>
      </c>
      <c r="E1334" s="7">
        <v>126</v>
      </c>
      <c r="F1334" s="5">
        <f>IFERROR(VLOOKUP(D1334, Sheet2!$A:$C, 3, FALSE), 0)</f>
        <v>2500</v>
      </c>
      <c r="G1334" s="6">
        <f t="shared" si="21"/>
        <v>315000</v>
      </c>
    </row>
    <row r="1335" spans="1:7" ht="17.25" x14ac:dyDescent="0.3">
      <c r="A1335" s="22" t="s">
        <v>301</v>
      </c>
      <c r="B1335" s="3" t="s">
        <v>75</v>
      </c>
      <c r="C1335" s="4" t="s">
        <v>341</v>
      </c>
      <c r="D1335" s="4" t="s">
        <v>17</v>
      </c>
      <c r="E1335" s="7">
        <v>112</v>
      </c>
      <c r="F1335" s="5">
        <f>IFERROR(VLOOKUP(D1335, Sheet2!$A:$C, 3, FALSE), 0)</f>
        <v>11700</v>
      </c>
      <c r="G1335" s="6">
        <f t="shared" si="21"/>
        <v>1310400</v>
      </c>
    </row>
    <row r="1336" spans="1:7" ht="17.25" x14ac:dyDescent="0.3">
      <c r="A1336" s="22" t="s">
        <v>302</v>
      </c>
      <c r="B1336" s="3" t="s">
        <v>43</v>
      </c>
      <c r="C1336" s="4" t="s">
        <v>215</v>
      </c>
      <c r="D1336" s="11" t="s">
        <v>264</v>
      </c>
      <c r="E1336" s="7">
        <v>596</v>
      </c>
      <c r="F1336" s="5">
        <f>IFERROR(VLOOKUP(D1336, Sheet2!$A:$C, 3, FALSE), 0)</f>
        <v>4454.545454545454</v>
      </c>
      <c r="G1336" s="6">
        <f t="shared" si="21"/>
        <v>2654909.0909090908</v>
      </c>
    </row>
    <row r="1337" spans="1:7" ht="17.25" x14ac:dyDescent="0.3">
      <c r="A1337" s="3" t="s">
        <v>302</v>
      </c>
      <c r="B1337" s="3" t="s">
        <v>43</v>
      </c>
      <c r="C1337" s="4" t="s">
        <v>337</v>
      </c>
      <c r="D1337" s="9" t="s">
        <v>94</v>
      </c>
      <c r="E1337" s="7">
        <v>314</v>
      </c>
      <c r="F1337" s="5">
        <f>IFERROR(VLOOKUP(D1337, Sheet2!$A:$C, 3, FALSE), 0)</f>
        <v>14181.81818181818</v>
      </c>
      <c r="G1337" s="6">
        <f t="shared" si="21"/>
        <v>4453090.9090909082</v>
      </c>
    </row>
    <row r="1338" spans="1:7" ht="17.25" x14ac:dyDescent="0.3">
      <c r="A1338" s="3" t="s">
        <v>302</v>
      </c>
      <c r="B1338" s="3" t="s">
        <v>60</v>
      </c>
      <c r="C1338" s="4" t="s">
        <v>341</v>
      </c>
      <c r="D1338" s="4" t="s">
        <v>68</v>
      </c>
      <c r="E1338" s="7">
        <v>136</v>
      </c>
      <c r="F1338" s="5">
        <f>IFERROR(VLOOKUP(D1338, Sheet2!$A:$C, 3, FALSE), 0)</f>
        <v>13400</v>
      </c>
      <c r="G1338" s="6">
        <f t="shared" si="21"/>
        <v>1822400</v>
      </c>
    </row>
    <row r="1339" spans="1:7" ht="17.25" x14ac:dyDescent="0.3">
      <c r="A1339" s="3" t="s">
        <v>302</v>
      </c>
      <c r="B1339" s="23" t="s">
        <v>41</v>
      </c>
      <c r="C1339" s="4" t="s">
        <v>337</v>
      </c>
      <c r="D1339" s="3" t="s">
        <v>79</v>
      </c>
      <c r="E1339" s="7">
        <v>216</v>
      </c>
      <c r="F1339" s="5">
        <f>IFERROR(VLOOKUP(D1339, Sheet2!$A:$C, 3, FALSE), 0)</f>
        <v>21363.63636363636</v>
      </c>
      <c r="G1339" s="6">
        <f t="shared" si="21"/>
        <v>4614545.4545454541</v>
      </c>
    </row>
    <row r="1340" spans="1:7" ht="17.25" x14ac:dyDescent="0.3">
      <c r="A1340" s="22" t="s">
        <v>303</v>
      </c>
      <c r="B1340" s="3" t="s">
        <v>63</v>
      </c>
      <c r="C1340" s="4" t="s">
        <v>344</v>
      </c>
      <c r="D1340" s="3" t="s">
        <v>15</v>
      </c>
      <c r="E1340" s="7">
        <v>176</v>
      </c>
      <c r="F1340" s="5">
        <f>IFERROR(VLOOKUP(D1340, Sheet2!$A:$C, 3, FALSE), 0)</f>
        <v>3863.6363636363635</v>
      </c>
      <c r="G1340" s="6">
        <f t="shared" si="21"/>
        <v>680000</v>
      </c>
    </row>
    <row r="1341" spans="1:7" ht="17.25" x14ac:dyDescent="0.3">
      <c r="A1341" s="22" t="s">
        <v>303</v>
      </c>
      <c r="B1341" s="3" t="s">
        <v>8</v>
      </c>
      <c r="C1341" s="4" t="s">
        <v>344</v>
      </c>
      <c r="D1341" s="3" t="s">
        <v>22</v>
      </c>
      <c r="E1341" s="7">
        <v>80</v>
      </c>
      <c r="F1341" s="5">
        <f>IFERROR(VLOOKUP(D1341, Sheet2!$A:$C, 3, FALSE), 0)</f>
        <v>5999.9999999999991</v>
      </c>
      <c r="G1341" s="6">
        <f t="shared" si="21"/>
        <v>479999.99999999994</v>
      </c>
    </row>
    <row r="1342" spans="1:7" ht="17.25" x14ac:dyDescent="0.3">
      <c r="A1342" s="3" t="s">
        <v>303</v>
      </c>
      <c r="B1342" s="3" t="s">
        <v>33</v>
      </c>
      <c r="C1342" s="4" t="s">
        <v>338</v>
      </c>
      <c r="D1342" s="3" t="s">
        <v>36</v>
      </c>
      <c r="E1342" s="7">
        <v>167</v>
      </c>
      <c r="F1342" s="5">
        <f>IFERROR(VLOOKUP(D1342, Sheet2!$A:$C, 3, FALSE), 0)</f>
        <v>7899.9999999999991</v>
      </c>
      <c r="G1342" s="6">
        <f t="shared" si="21"/>
        <v>1319299.9999999998</v>
      </c>
    </row>
    <row r="1343" spans="1:7" ht="17.25" x14ac:dyDescent="0.3">
      <c r="A1343" s="3" t="s">
        <v>303</v>
      </c>
      <c r="B1343" s="3" t="s">
        <v>95</v>
      </c>
      <c r="C1343" s="4" t="s">
        <v>344</v>
      </c>
      <c r="D1343" s="3" t="s">
        <v>56</v>
      </c>
      <c r="E1343" s="7">
        <v>145</v>
      </c>
      <c r="F1343" s="5">
        <f>IFERROR(VLOOKUP(D1343, Sheet2!$A:$C, 3, FALSE), 0)</f>
        <v>5545.454545454545</v>
      </c>
      <c r="G1343" s="6">
        <f t="shared" si="21"/>
        <v>804090.90909090906</v>
      </c>
    </row>
    <row r="1344" spans="1:7" ht="17.25" x14ac:dyDescent="0.3">
      <c r="A1344" s="3" t="s">
        <v>303</v>
      </c>
      <c r="B1344" s="3" t="s">
        <v>93</v>
      </c>
      <c r="C1344" s="4" t="s">
        <v>337</v>
      </c>
      <c r="D1344" s="3" t="s">
        <v>9</v>
      </c>
      <c r="E1344" s="7">
        <v>968</v>
      </c>
      <c r="F1344" s="5">
        <f>IFERROR(VLOOKUP(D1344, Sheet2!$A:$C, 3, FALSE), 0)</f>
        <v>18636.363636363636</v>
      </c>
      <c r="G1344" s="6">
        <f t="shared" si="21"/>
        <v>18040000</v>
      </c>
    </row>
    <row r="1345" spans="1:7" ht="17.25" x14ac:dyDescent="0.3">
      <c r="A1345" s="22" t="s">
        <v>304</v>
      </c>
      <c r="B1345" s="3" t="s">
        <v>21</v>
      </c>
      <c r="C1345" s="4" t="s">
        <v>337</v>
      </c>
      <c r="D1345" s="3" t="s">
        <v>188</v>
      </c>
      <c r="E1345" s="7">
        <v>766</v>
      </c>
      <c r="F1345" s="5">
        <f>IFERROR(VLOOKUP(D1345, Sheet2!$A:$C, 3, FALSE), 0)</f>
        <v>31818.181818181816</v>
      </c>
      <c r="G1345" s="6">
        <f t="shared" si="21"/>
        <v>24372727.27272727</v>
      </c>
    </row>
    <row r="1346" spans="1:7" ht="17.25" x14ac:dyDescent="0.3">
      <c r="A1346" s="22" t="s">
        <v>304</v>
      </c>
      <c r="B1346" s="3" t="s">
        <v>21</v>
      </c>
      <c r="C1346" s="4" t="s">
        <v>337</v>
      </c>
      <c r="D1346" s="3" t="s">
        <v>9</v>
      </c>
      <c r="E1346" s="7">
        <v>1519</v>
      </c>
      <c r="F1346" s="5">
        <f>IFERROR(VLOOKUP(D1346, Sheet2!$A:$C, 3, FALSE), 0)</f>
        <v>18636.363636363636</v>
      </c>
      <c r="G1346" s="6">
        <f t="shared" si="21"/>
        <v>28308636.363636363</v>
      </c>
    </row>
    <row r="1347" spans="1:7" ht="17.25" x14ac:dyDescent="0.3">
      <c r="A1347" s="22" t="s">
        <v>304</v>
      </c>
      <c r="B1347" s="3" t="s">
        <v>21</v>
      </c>
      <c r="C1347" s="4" t="s">
        <v>344</v>
      </c>
      <c r="D1347" s="3" t="s">
        <v>22</v>
      </c>
      <c r="E1347" s="7">
        <v>134</v>
      </c>
      <c r="F1347" s="5">
        <f>IFERROR(VLOOKUP(D1347, Sheet2!$A:$C, 3, FALSE), 0)</f>
        <v>5999.9999999999991</v>
      </c>
      <c r="G1347" s="6">
        <f t="shared" si="21"/>
        <v>803999.99999999988</v>
      </c>
    </row>
    <row r="1348" spans="1:7" ht="17.25" x14ac:dyDescent="0.3">
      <c r="A1348" s="22" t="s">
        <v>304</v>
      </c>
      <c r="B1348" s="3" t="s">
        <v>24</v>
      </c>
      <c r="C1348" s="4" t="s">
        <v>344</v>
      </c>
      <c r="D1348" s="3" t="s">
        <v>52</v>
      </c>
      <c r="E1348" s="7">
        <v>79</v>
      </c>
      <c r="F1348" s="5">
        <f>IFERROR(VLOOKUP(D1348, Sheet2!$A:$C, 3, FALSE), 0)</f>
        <v>5999.9999999999991</v>
      </c>
      <c r="G1348" s="6">
        <f t="shared" si="21"/>
        <v>473999.99999999994</v>
      </c>
    </row>
    <row r="1349" spans="1:7" ht="17.25" x14ac:dyDescent="0.3">
      <c r="A1349" s="3" t="s">
        <v>304</v>
      </c>
      <c r="B1349" s="3" t="s">
        <v>23</v>
      </c>
      <c r="C1349" s="4" t="s">
        <v>339</v>
      </c>
      <c r="D1349" s="3" t="s">
        <v>76</v>
      </c>
      <c r="E1349" s="7">
        <v>201</v>
      </c>
      <c r="F1349" s="5">
        <f>IFERROR(VLOOKUP(D1349, Sheet2!$A:$C, 3, FALSE), 0)</f>
        <v>8636.363636363636</v>
      </c>
      <c r="G1349" s="6">
        <f t="shared" si="21"/>
        <v>1735909.0909090908</v>
      </c>
    </row>
    <row r="1350" spans="1:7" ht="17.25" x14ac:dyDescent="0.3">
      <c r="A1350" s="22" t="s">
        <v>304</v>
      </c>
      <c r="B1350" s="3" t="s">
        <v>23</v>
      </c>
      <c r="C1350" s="4" t="s">
        <v>344</v>
      </c>
      <c r="D1350" s="3" t="s">
        <v>52</v>
      </c>
      <c r="E1350" s="7">
        <v>160</v>
      </c>
      <c r="F1350" s="5">
        <f>IFERROR(VLOOKUP(D1350, Sheet2!$A:$C, 3, FALSE), 0)</f>
        <v>5999.9999999999991</v>
      </c>
      <c r="G1350" s="6">
        <f t="shared" si="21"/>
        <v>959999.99999999988</v>
      </c>
    </row>
    <row r="1351" spans="1:7" ht="17.25" x14ac:dyDescent="0.3">
      <c r="A1351" s="22" t="s">
        <v>304</v>
      </c>
      <c r="B1351" s="3" t="s">
        <v>75</v>
      </c>
      <c r="C1351" s="4" t="s">
        <v>344</v>
      </c>
      <c r="D1351" s="3" t="s">
        <v>52</v>
      </c>
      <c r="E1351" s="7">
        <v>148</v>
      </c>
      <c r="F1351" s="5">
        <f>IFERROR(VLOOKUP(D1351, Sheet2!$A:$C, 3, FALSE), 0)</f>
        <v>5999.9999999999991</v>
      </c>
      <c r="G1351" s="6">
        <f t="shared" si="21"/>
        <v>887999.99999999988</v>
      </c>
    </row>
    <row r="1352" spans="1:7" ht="17.25" x14ac:dyDescent="0.3">
      <c r="A1352" s="3" t="s">
        <v>304</v>
      </c>
      <c r="B1352" s="3" t="s">
        <v>43</v>
      </c>
      <c r="C1352" s="4" t="s">
        <v>337</v>
      </c>
      <c r="D1352" s="11" t="s">
        <v>144</v>
      </c>
      <c r="E1352" s="7">
        <v>1205</v>
      </c>
      <c r="F1352" s="5">
        <f>IFERROR(VLOOKUP(D1352, Sheet2!$A:$C, 3, FALSE), 0)</f>
        <v>10272.727272727272</v>
      </c>
      <c r="G1352" s="6">
        <f t="shared" si="21"/>
        <v>12378636.363636363</v>
      </c>
    </row>
    <row r="1353" spans="1:7" ht="17.25" x14ac:dyDescent="0.3">
      <c r="A1353" s="3" t="s">
        <v>304</v>
      </c>
      <c r="B1353" s="3" t="s">
        <v>43</v>
      </c>
      <c r="C1353" s="4" t="s">
        <v>344</v>
      </c>
      <c r="D1353" s="9" t="s">
        <v>22</v>
      </c>
      <c r="E1353" s="7">
        <v>114</v>
      </c>
      <c r="F1353" s="5">
        <f>IFERROR(VLOOKUP(D1353, Sheet2!$A:$C, 3, FALSE), 0)</f>
        <v>5999.9999999999991</v>
      </c>
      <c r="G1353" s="6">
        <f t="shared" si="21"/>
        <v>683999.99999999988</v>
      </c>
    </row>
    <row r="1354" spans="1:7" ht="17.25" x14ac:dyDescent="0.3">
      <c r="A1354" s="3" t="s">
        <v>304</v>
      </c>
      <c r="B1354" s="3" t="s">
        <v>60</v>
      </c>
      <c r="C1354" s="4" t="s">
        <v>341</v>
      </c>
      <c r="D1354" s="4" t="s">
        <v>68</v>
      </c>
      <c r="E1354" s="7">
        <v>156</v>
      </c>
      <c r="F1354" s="5">
        <f>IFERROR(VLOOKUP(D1354, Sheet2!$A:$C, 3, FALSE), 0)</f>
        <v>13400</v>
      </c>
      <c r="G1354" s="6">
        <f t="shared" si="21"/>
        <v>2090400</v>
      </c>
    </row>
    <row r="1355" spans="1:7" ht="17.25" x14ac:dyDescent="0.3">
      <c r="A1355" s="3" t="s">
        <v>304</v>
      </c>
      <c r="B1355" s="3" t="s">
        <v>21</v>
      </c>
      <c r="C1355" s="4" t="s">
        <v>338</v>
      </c>
      <c r="D1355" s="3" t="s">
        <v>36</v>
      </c>
      <c r="E1355" s="7">
        <v>292</v>
      </c>
      <c r="F1355" s="5">
        <f>IFERROR(VLOOKUP(D1355, Sheet2!$A:$C, 3, FALSE), 0)</f>
        <v>7899.9999999999991</v>
      </c>
      <c r="G1355" s="6">
        <f t="shared" si="21"/>
        <v>2306799.9999999995</v>
      </c>
    </row>
    <row r="1356" spans="1:7" ht="17.25" x14ac:dyDescent="0.3">
      <c r="A1356" s="22" t="s">
        <v>305</v>
      </c>
      <c r="B1356" s="3" t="s">
        <v>25</v>
      </c>
      <c r="C1356" s="4" t="s">
        <v>344</v>
      </c>
      <c r="D1356" s="3" t="s">
        <v>44</v>
      </c>
      <c r="E1356" s="7">
        <v>239</v>
      </c>
      <c r="F1356" s="5">
        <f>IFERROR(VLOOKUP(D1356, Sheet2!$A:$C, 3, FALSE), 0)</f>
        <v>5909.090909090909</v>
      </c>
      <c r="G1356" s="6">
        <f t="shared" si="21"/>
        <v>1412272.7272727273</v>
      </c>
    </row>
    <row r="1357" spans="1:7" ht="17.25" x14ac:dyDescent="0.3">
      <c r="A1357" s="3" t="s">
        <v>305</v>
      </c>
      <c r="B1357" s="3" t="s">
        <v>25</v>
      </c>
      <c r="C1357" s="4" t="s">
        <v>215</v>
      </c>
      <c r="D1357" s="3" t="s">
        <v>173</v>
      </c>
      <c r="E1357" s="7">
        <v>809</v>
      </c>
      <c r="F1357" s="5">
        <f>IFERROR(VLOOKUP(D1357, Sheet2!$A:$C, 3, FALSE), 0)</f>
        <v>7181.8181818181811</v>
      </c>
      <c r="G1357" s="6">
        <f t="shared" si="21"/>
        <v>5810090.9090909082</v>
      </c>
    </row>
    <row r="1358" spans="1:7" ht="17.25" x14ac:dyDescent="0.3">
      <c r="A1358" s="22" t="s">
        <v>305</v>
      </c>
      <c r="B1358" s="3" t="s">
        <v>150</v>
      </c>
      <c r="C1358" s="4" t="s">
        <v>344</v>
      </c>
      <c r="D1358" s="3" t="s">
        <v>22</v>
      </c>
      <c r="E1358" s="7">
        <v>397</v>
      </c>
      <c r="F1358" s="5">
        <f>IFERROR(VLOOKUP(D1358, Sheet2!$A:$C, 3, FALSE), 0)</f>
        <v>5999.9999999999991</v>
      </c>
      <c r="G1358" s="6">
        <f t="shared" si="21"/>
        <v>2381999.9999999995</v>
      </c>
    </row>
    <row r="1359" spans="1:7" ht="17.25" x14ac:dyDescent="0.3">
      <c r="A1359" s="3" t="s">
        <v>305</v>
      </c>
      <c r="B1359" s="3" t="s">
        <v>150</v>
      </c>
      <c r="C1359" s="4" t="s">
        <v>344</v>
      </c>
      <c r="D1359" s="3" t="s">
        <v>44</v>
      </c>
      <c r="E1359" s="7">
        <v>379</v>
      </c>
      <c r="F1359" s="5">
        <f>IFERROR(VLOOKUP(D1359, Sheet2!$A:$C, 3, FALSE), 0)</f>
        <v>5909.090909090909</v>
      </c>
      <c r="G1359" s="6">
        <f t="shared" si="21"/>
        <v>2239545.4545454546</v>
      </c>
    </row>
    <row r="1360" spans="1:7" ht="17.25" x14ac:dyDescent="0.3">
      <c r="A1360" s="22" t="s">
        <v>305</v>
      </c>
      <c r="B1360" s="3" t="s">
        <v>24</v>
      </c>
      <c r="C1360" s="4" t="s">
        <v>344</v>
      </c>
      <c r="D1360" s="3" t="s">
        <v>15</v>
      </c>
      <c r="E1360" s="7">
        <v>421</v>
      </c>
      <c r="F1360" s="5">
        <f>IFERROR(VLOOKUP(D1360, Sheet2!$A:$C, 3, FALSE), 0)</f>
        <v>3863.6363636363635</v>
      </c>
      <c r="G1360" s="6">
        <f t="shared" si="21"/>
        <v>1626590.9090909089</v>
      </c>
    </row>
    <row r="1361" spans="1:7" ht="17.25" x14ac:dyDescent="0.3">
      <c r="A1361" s="3" t="s">
        <v>305</v>
      </c>
      <c r="B1361" s="3" t="s">
        <v>23</v>
      </c>
      <c r="C1361" s="4" t="s">
        <v>338</v>
      </c>
      <c r="D1361" s="3" t="s">
        <v>36</v>
      </c>
      <c r="E1361" s="7">
        <v>185</v>
      </c>
      <c r="F1361" s="5">
        <f>IFERROR(VLOOKUP(D1361, Sheet2!$A:$C, 3, FALSE), 0)</f>
        <v>7899.9999999999991</v>
      </c>
      <c r="G1361" s="6">
        <f t="shared" si="21"/>
        <v>1461499.9999999998</v>
      </c>
    </row>
    <row r="1362" spans="1:7" ht="17.25" x14ac:dyDescent="0.3">
      <c r="A1362" s="22" t="s">
        <v>305</v>
      </c>
      <c r="B1362" s="23" t="s">
        <v>48</v>
      </c>
      <c r="C1362" s="4" t="s">
        <v>344</v>
      </c>
      <c r="D1362" s="3" t="s">
        <v>52</v>
      </c>
      <c r="E1362" s="7">
        <v>119</v>
      </c>
      <c r="F1362" s="5">
        <f>IFERROR(VLOOKUP(D1362, Sheet2!$A:$C, 3, FALSE), 0)</f>
        <v>5999.9999999999991</v>
      </c>
      <c r="G1362" s="6">
        <f t="shared" si="21"/>
        <v>713999.99999999988</v>
      </c>
    </row>
    <row r="1363" spans="1:7" ht="17.25" x14ac:dyDescent="0.3">
      <c r="A1363" s="22" t="s">
        <v>305</v>
      </c>
      <c r="B1363" s="3" t="s">
        <v>43</v>
      </c>
      <c r="C1363" s="4" t="s">
        <v>344</v>
      </c>
      <c r="D1363" s="3" t="s">
        <v>22</v>
      </c>
      <c r="E1363" s="7">
        <v>318</v>
      </c>
      <c r="F1363" s="5">
        <f>IFERROR(VLOOKUP(D1363, Sheet2!$A:$C, 3, FALSE), 0)</f>
        <v>5999.9999999999991</v>
      </c>
      <c r="G1363" s="6">
        <f t="shared" si="21"/>
        <v>1907999.9999999998</v>
      </c>
    </row>
    <row r="1364" spans="1:7" ht="17.25" x14ac:dyDescent="0.3">
      <c r="A1364" s="3" t="s">
        <v>305</v>
      </c>
      <c r="B1364" s="3" t="s">
        <v>14</v>
      </c>
      <c r="C1364" s="4" t="s">
        <v>341</v>
      </c>
      <c r="D1364" s="4" t="s">
        <v>68</v>
      </c>
      <c r="E1364" s="7">
        <v>121</v>
      </c>
      <c r="F1364" s="5">
        <f>IFERROR(VLOOKUP(D1364, Sheet2!$A:$C, 3, FALSE), 0)</f>
        <v>13400</v>
      </c>
      <c r="G1364" s="6">
        <f t="shared" si="21"/>
        <v>1621400</v>
      </c>
    </row>
    <row r="1365" spans="1:7" ht="17.25" x14ac:dyDescent="0.3">
      <c r="A1365" s="3" t="s">
        <v>305</v>
      </c>
      <c r="B1365" s="3" t="s">
        <v>14</v>
      </c>
      <c r="C1365" s="4" t="s">
        <v>343</v>
      </c>
      <c r="D1365" s="3" t="s">
        <v>45</v>
      </c>
      <c r="E1365" s="7">
        <v>895</v>
      </c>
      <c r="F1365" s="5">
        <f>IFERROR(VLOOKUP(D1365, Sheet2!$A:$C, 3, FALSE), 0)</f>
        <v>10909.090909090908</v>
      </c>
      <c r="G1365" s="6">
        <f t="shared" si="21"/>
        <v>9763636.3636363633</v>
      </c>
    </row>
    <row r="1366" spans="1:7" ht="17.25" x14ac:dyDescent="0.3">
      <c r="A1366" s="22" t="s">
        <v>305</v>
      </c>
      <c r="B1366" s="23" t="s">
        <v>33</v>
      </c>
      <c r="C1366" s="4" t="s">
        <v>337</v>
      </c>
      <c r="D1366" s="3" t="s">
        <v>122</v>
      </c>
      <c r="E1366" s="7">
        <v>563</v>
      </c>
      <c r="F1366" s="5">
        <f>IFERROR(VLOOKUP(D1366, Sheet2!$A:$C, 3, FALSE), 0)</f>
        <v>8181.8181818181811</v>
      </c>
      <c r="G1366" s="6">
        <f t="shared" si="21"/>
        <v>4606363.6363636358</v>
      </c>
    </row>
    <row r="1367" spans="1:7" ht="17.25" x14ac:dyDescent="0.3">
      <c r="A1367" s="22" t="s">
        <v>305</v>
      </c>
      <c r="B1367" s="23" t="s">
        <v>33</v>
      </c>
      <c r="C1367" s="4" t="s">
        <v>341</v>
      </c>
      <c r="D1367" s="4" t="s">
        <v>110</v>
      </c>
      <c r="E1367" s="7">
        <v>221</v>
      </c>
      <c r="F1367" s="5">
        <f>IFERROR(VLOOKUP(D1367, Sheet2!$A:$C, 3, FALSE), 0)</f>
        <v>2500</v>
      </c>
      <c r="G1367" s="6">
        <f t="shared" si="21"/>
        <v>552500</v>
      </c>
    </row>
    <row r="1368" spans="1:7" ht="17.25" x14ac:dyDescent="0.3">
      <c r="A1368" s="3" t="s">
        <v>305</v>
      </c>
      <c r="B1368" s="3" t="s">
        <v>66</v>
      </c>
      <c r="C1368" s="4" t="s">
        <v>344</v>
      </c>
      <c r="D1368" s="3" t="s">
        <v>44</v>
      </c>
      <c r="E1368" s="7">
        <v>40</v>
      </c>
      <c r="F1368" s="5">
        <f>IFERROR(VLOOKUP(D1368, Sheet2!$A:$C, 3, FALSE), 0)</f>
        <v>5909.090909090909</v>
      </c>
      <c r="G1368" s="6">
        <f t="shared" si="21"/>
        <v>236363.63636363635</v>
      </c>
    </row>
    <row r="1369" spans="1:7" ht="17.25" x14ac:dyDescent="0.3">
      <c r="A1369" s="22" t="s">
        <v>306</v>
      </c>
      <c r="B1369" s="3" t="s">
        <v>103</v>
      </c>
      <c r="C1369" s="4" t="s">
        <v>344</v>
      </c>
      <c r="D1369" s="3" t="s">
        <v>59</v>
      </c>
      <c r="E1369" s="7">
        <v>347</v>
      </c>
      <c r="F1369" s="5">
        <f>IFERROR(VLOOKUP(D1369, Sheet2!$A:$C, 3, FALSE), 0)</f>
        <v>4681.8181818181811</v>
      </c>
      <c r="G1369" s="6">
        <f t="shared" si="21"/>
        <v>1624590.9090909089</v>
      </c>
    </row>
    <row r="1370" spans="1:7" ht="17.25" x14ac:dyDescent="0.3">
      <c r="A1370" s="22" t="s">
        <v>306</v>
      </c>
      <c r="B1370" s="3" t="s">
        <v>25</v>
      </c>
      <c r="C1370" s="4" t="s">
        <v>338</v>
      </c>
      <c r="D1370" s="3" t="s">
        <v>36</v>
      </c>
      <c r="E1370" s="7">
        <v>714</v>
      </c>
      <c r="F1370" s="5">
        <f>IFERROR(VLOOKUP(D1370, Sheet2!$A:$C, 3, FALSE), 0)</f>
        <v>7899.9999999999991</v>
      </c>
      <c r="G1370" s="6">
        <f t="shared" si="21"/>
        <v>5640599.9999999991</v>
      </c>
    </row>
    <row r="1371" spans="1:7" ht="17.25" x14ac:dyDescent="0.3">
      <c r="A1371" s="3" t="s">
        <v>306</v>
      </c>
      <c r="B1371" s="3" t="s">
        <v>99</v>
      </c>
      <c r="C1371" s="4" t="s">
        <v>337</v>
      </c>
      <c r="D1371" s="3" t="s">
        <v>79</v>
      </c>
      <c r="E1371" s="7">
        <v>533</v>
      </c>
      <c r="F1371" s="5">
        <f>IFERROR(VLOOKUP(D1371, Sheet2!$A:$C, 3, FALSE), 0)</f>
        <v>21363.63636363636</v>
      </c>
      <c r="G1371" s="6">
        <f t="shared" si="21"/>
        <v>11386818.18181818</v>
      </c>
    </row>
    <row r="1372" spans="1:7" ht="17.25" x14ac:dyDescent="0.3">
      <c r="A1372" s="22" t="s">
        <v>306</v>
      </c>
      <c r="B1372" s="23" t="s">
        <v>48</v>
      </c>
      <c r="C1372" s="4" t="s">
        <v>338</v>
      </c>
      <c r="D1372" s="11" t="s">
        <v>36</v>
      </c>
      <c r="E1372" s="10">
        <v>281</v>
      </c>
      <c r="F1372" s="5">
        <f>IFERROR(VLOOKUP(D1372, Sheet2!$A:$C, 3, FALSE), 0)</f>
        <v>7899.9999999999991</v>
      </c>
      <c r="G1372" s="6">
        <f t="shared" ref="G1372:G1423" si="22">E1372*F1372</f>
        <v>2219899.9999999995</v>
      </c>
    </row>
    <row r="1373" spans="1:7" ht="17.25" x14ac:dyDescent="0.3">
      <c r="A1373" s="22" t="s">
        <v>306</v>
      </c>
      <c r="B1373" s="3" t="s">
        <v>16</v>
      </c>
      <c r="C1373" s="4" t="s">
        <v>344</v>
      </c>
      <c r="D1373" s="3" t="s">
        <v>22</v>
      </c>
      <c r="E1373" s="7">
        <v>212</v>
      </c>
      <c r="F1373" s="5">
        <f>IFERROR(VLOOKUP(D1373, Sheet2!$A:$C, 3, FALSE), 0)</f>
        <v>5999.9999999999991</v>
      </c>
      <c r="G1373" s="6">
        <f t="shared" si="22"/>
        <v>1271999.9999999998</v>
      </c>
    </row>
    <row r="1374" spans="1:7" ht="17.25" x14ac:dyDescent="0.3">
      <c r="A1374" s="3" t="s">
        <v>306</v>
      </c>
      <c r="B1374" s="3" t="s">
        <v>16</v>
      </c>
      <c r="C1374" s="4" t="s">
        <v>216</v>
      </c>
      <c r="D1374" s="11" t="s">
        <v>37</v>
      </c>
      <c r="E1374" s="7">
        <v>919</v>
      </c>
      <c r="F1374" s="5">
        <f>IFERROR(VLOOKUP(D1374, Sheet2!$A:$C, 3, FALSE), 0)</f>
        <v>6799.9999999999991</v>
      </c>
      <c r="G1374" s="6">
        <f t="shared" si="22"/>
        <v>6249199.9999999991</v>
      </c>
    </row>
    <row r="1375" spans="1:7" ht="17.25" x14ac:dyDescent="0.3">
      <c r="A1375" s="3" t="s">
        <v>306</v>
      </c>
      <c r="B1375" s="3" t="s">
        <v>33</v>
      </c>
      <c r="C1375" s="4" t="s">
        <v>338</v>
      </c>
      <c r="D1375" s="3" t="s">
        <v>36</v>
      </c>
      <c r="E1375" s="7">
        <v>908</v>
      </c>
      <c r="F1375" s="5">
        <f>IFERROR(VLOOKUP(D1375, Sheet2!$A:$C, 3, FALSE), 0)</f>
        <v>7899.9999999999991</v>
      </c>
      <c r="G1375" s="6">
        <f t="shared" si="22"/>
        <v>7173199.9999999991</v>
      </c>
    </row>
    <row r="1376" spans="1:7" ht="17.25" x14ac:dyDescent="0.3">
      <c r="A1376" s="3" t="s">
        <v>306</v>
      </c>
      <c r="B1376" s="3" t="s">
        <v>33</v>
      </c>
      <c r="C1376" s="4" t="s">
        <v>344</v>
      </c>
      <c r="D1376" s="3" t="s">
        <v>20</v>
      </c>
      <c r="E1376" s="7">
        <v>268</v>
      </c>
      <c r="F1376" s="5">
        <f>IFERROR(VLOOKUP(D1376, Sheet2!$A:$C, 3, FALSE), 0)</f>
        <v>6999.9999999999991</v>
      </c>
      <c r="G1376" s="6">
        <f t="shared" si="22"/>
        <v>1875999.9999999998</v>
      </c>
    </row>
    <row r="1377" spans="1:7" ht="17.25" x14ac:dyDescent="0.3">
      <c r="A1377" s="3" t="s">
        <v>306</v>
      </c>
      <c r="B1377" s="23" t="s">
        <v>33</v>
      </c>
      <c r="C1377" s="4" t="s">
        <v>344</v>
      </c>
      <c r="D1377" s="3" t="s">
        <v>52</v>
      </c>
      <c r="E1377" s="7">
        <v>270</v>
      </c>
      <c r="F1377" s="5">
        <f>IFERROR(VLOOKUP(D1377, Sheet2!$A:$C, 3, FALSE), 0)</f>
        <v>5999.9999999999991</v>
      </c>
      <c r="G1377" s="6">
        <f t="shared" si="22"/>
        <v>1619999.9999999998</v>
      </c>
    </row>
    <row r="1378" spans="1:7" ht="17.25" x14ac:dyDescent="0.3">
      <c r="A1378" s="22" t="s">
        <v>306</v>
      </c>
      <c r="B1378" s="3" t="s">
        <v>33</v>
      </c>
      <c r="C1378" s="4" t="s">
        <v>341</v>
      </c>
      <c r="D1378" s="4" t="s">
        <v>110</v>
      </c>
      <c r="E1378" s="7">
        <v>77</v>
      </c>
      <c r="F1378" s="5">
        <f>IFERROR(VLOOKUP(D1378, Sheet2!$A:$C, 3, FALSE), 0)</f>
        <v>2500</v>
      </c>
      <c r="G1378" s="6">
        <f t="shared" si="22"/>
        <v>192500</v>
      </c>
    </row>
    <row r="1379" spans="1:7" ht="17.25" x14ac:dyDescent="0.3">
      <c r="A1379" s="22" t="s">
        <v>306</v>
      </c>
      <c r="B1379" s="3" t="s">
        <v>21</v>
      </c>
      <c r="C1379" s="4" t="s">
        <v>341</v>
      </c>
      <c r="D1379" s="4" t="s">
        <v>17</v>
      </c>
      <c r="E1379" s="7">
        <v>54</v>
      </c>
      <c r="F1379" s="5">
        <f>IFERROR(VLOOKUP(D1379, Sheet2!$A:$C, 3, FALSE), 0)</f>
        <v>11700</v>
      </c>
      <c r="G1379" s="6">
        <f t="shared" si="22"/>
        <v>631800</v>
      </c>
    </row>
    <row r="1380" spans="1:7" ht="17.25" x14ac:dyDescent="0.3">
      <c r="A1380" s="22" t="s">
        <v>307</v>
      </c>
      <c r="B1380" s="3" t="s">
        <v>23</v>
      </c>
      <c r="C1380" s="4" t="s">
        <v>344</v>
      </c>
      <c r="D1380" s="3" t="s">
        <v>20</v>
      </c>
      <c r="E1380" s="7">
        <v>252</v>
      </c>
      <c r="F1380" s="5">
        <f>IFERROR(VLOOKUP(D1380, Sheet2!$A:$C, 3, FALSE), 0)</f>
        <v>6999.9999999999991</v>
      </c>
      <c r="G1380" s="6">
        <f t="shared" si="22"/>
        <v>1763999.9999999998</v>
      </c>
    </row>
    <row r="1381" spans="1:7" ht="17.25" x14ac:dyDescent="0.3">
      <c r="A1381" s="3" t="s">
        <v>307</v>
      </c>
      <c r="B1381" s="3" t="s">
        <v>23</v>
      </c>
      <c r="C1381" s="4" t="s">
        <v>342</v>
      </c>
      <c r="D1381" s="4" t="s">
        <v>61</v>
      </c>
      <c r="E1381" s="7">
        <v>51</v>
      </c>
      <c r="F1381" s="5">
        <f>IFERROR(VLOOKUP(D1381, Sheet2!$A:$C, 3, FALSE), 0)</f>
        <v>7363.6363636363631</v>
      </c>
      <c r="G1381" s="6">
        <f t="shared" si="22"/>
        <v>375545.45454545453</v>
      </c>
    </row>
    <row r="1382" spans="1:7" ht="17.25" x14ac:dyDescent="0.3">
      <c r="A1382" s="3" t="s">
        <v>307</v>
      </c>
      <c r="B1382" s="3" t="s">
        <v>27</v>
      </c>
      <c r="C1382" s="4" t="s">
        <v>342</v>
      </c>
      <c r="D1382" s="4" t="s">
        <v>61</v>
      </c>
      <c r="E1382" s="7">
        <v>39</v>
      </c>
      <c r="F1382" s="5">
        <f>IFERROR(VLOOKUP(D1382, Sheet2!$A:$C, 3, FALSE), 0)</f>
        <v>7363.6363636363631</v>
      </c>
      <c r="G1382" s="6">
        <f t="shared" si="22"/>
        <v>287181.81818181818</v>
      </c>
    </row>
    <row r="1383" spans="1:7" ht="17.25" x14ac:dyDescent="0.3">
      <c r="A1383" s="3" t="s">
        <v>307</v>
      </c>
      <c r="B1383" s="3" t="s">
        <v>43</v>
      </c>
      <c r="C1383" s="4" t="s">
        <v>344</v>
      </c>
      <c r="D1383" s="3" t="s">
        <v>52</v>
      </c>
      <c r="E1383" s="7">
        <v>292</v>
      </c>
      <c r="F1383" s="5">
        <f>IFERROR(VLOOKUP(D1383, Sheet2!$A:$C, 3, FALSE), 0)</f>
        <v>5999.9999999999991</v>
      </c>
      <c r="G1383" s="6">
        <f t="shared" si="22"/>
        <v>1751999.9999999998</v>
      </c>
    </row>
    <row r="1384" spans="1:7" ht="17.25" x14ac:dyDescent="0.3">
      <c r="A1384" s="3" t="s">
        <v>307</v>
      </c>
      <c r="B1384" s="3" t="s">
        <v>19</v>
      </c>
      <c r="C1384" s="4" t="s">
        <v>341</v>
      </c>
      <c r="D1384" s="4" t="s">
        <v>68</v>
      </c>
      <c r="E1384" s="7">
        <v>118</v>
      </c>
      <c r="F1384" s="5">
        <f>IFERROR(VLOOKUP(D1384, Sheet2!$A:$C, 3, FALSE), 0)</f>
        <v>13400</v>
      </c>
      <c r="G1384" s="6">
        <f t="shared" si="22"/>
        <v>1581200</v>
      </c>
    </row>
    <row r="1385" spans="1:7" ht="17.25" x14ac:dyDescent="0.3">
      <c r="A1385" s="22" t="s">
        <v>308</v>
      </c>
      <c r="B1385" s="3" t="s">
        <v>19</v>
      </c>
      <c r="C1385" s="4" t="s">
        <v>338</v>
      </c>
      <c r="D1385" s="3" t="s">
        <v>73</v>
      </c>
      <c r="E1385" s="7">
        <v>515</v>
      </c>
      <c r="F1385" s="5">
        <f>IFERROR(VLOOKUP(D1385, Sheet2!$A:$C, 3, FALSE), 0)</f>
        <v>7899.9999999999991</v>
      </c>
      <c r="G1385" s="6">
        <f t="shared" si="22"/>
        <v>4068499.9999999995</v>
      </c>
    </row>
    <row r="1386" spans="1:7" ht="17.25" x14ac:dyDescent="0.3">
      <c r="A1386" s="22" t="s">
        <v>308</v>
      </c>
      <c r="B1386" s="3" t="s">
        <v>46</v>
      </c>
      <c r="C1386" s="4" t="s">
        <v>344</v>
      </c>
      <c r="D1386" s="3" t="s">
        <v>53</v>
      </c>
      <c r="E1386" s="7">
        <v>518</v>
      </c>
      <c r="F1386" s="5">
        <f>IFERROR(VLOOKUP(D1386, Sheet2!$A:$C, 3, FALSE), 0)</f>
        <v>5818.181818181818</v>
      </c>
      <c r="G1386" s="6">
        <f t="shared" si="22"/>
        <v>3013818.1818181816</v>
      </c>
    </row>
    <row r="1387" spans="1:7" ht="17.25" x14ac:dyDescent="0.3">
      <c r="A1387" s="22" t="s">
        <v>308</v>
      </c>
      <c r="B1387" s="3" t="s">
        <v>314</v>
      </c>
      <c r="C1387" s="4" t="s">
        <v>337</v>
      </c>
      <c r="D1387" s="3" t="s">
        <v>78</v>
      </c>
      <c r="E1387" s="7">
        <v>1890</v>
      </c>
      <c r="F1387" s="5">
        <f>IFERROR(VLOOKUP(D1387, Sheet2!$A:$C, 3, FALSE), 0)</f>
        <v>14999.999999999998</v>
      </c>
      <c r="G1387" s="6">
        <f t="shared" si="22"/>
        <v>28349999.999999996</v>
      </c>
    </row>
    <row r="1388" spans="1:7" ht="17.25" x14ac:dyDescent="0.3">
      <c r="A1388" s="3" t="s">
        <v>308</v>
      </c>
      <c r="B1388" s="3" t="s">
        <v>23</v>
      </c>
      <c r="C1388" s="4" t="s">
        <v>337</v>
      </c>
      <c r="D1388" s="3" t="s">
        <v>186</v>
      </c>
      <c r="E1388" s="7">
        <v>150</v>
      </c>
      <c r="F1388" s="5">
        <f>IFERROR(VLOOKUP(D1388, Sheet2!$A:$C, 3, FALSE), 0)</f>
        <v>14545.454545454544</v>
      </c>
      <c r="G1388" s="6">
        <f t="shared" si="22"/>
        <v>2181818.1818181816</v>
      </c>
    </row>
    <row r="1389" spans="1:7" ht="17.25" x14ac:dyDescent="0.3">
      <c r="A1389" s="22" t="s">
        <v>308</v>
      </c>
      <c r="B1389" s="3" t="s">
        <v>29</v>
      </c>
      <c r="C1389" s="4" t="s">
        <v>342</v>
      </c>
      <c r="D1389" s="4" t="s">
        <v>61</v>
      </c>
      <c r="E1389" s="7">
        <v>20</v>
      </c>
      <c r="F1389" s="5">
        <f>IFERROR(VLOOKUP(D1389, Sheet2!$A:$C, 3, FALSE), 0)</f>
        <v>7363.6363636363631</v>
      </c>
      <c r="G1389" s="6">
        <f t="shared" si="22"/>
        <v>147272.72727272726</v>
      </c>
    </row>
    <row r="1390" spans="1:7" ht="17.25" x14ac:dyDescent="0.3">
      <c r="A1390" s="3" t="s">
        <v>308</v>
      </c>
      <c r="B1390" s="3" t="s">
        <v>11</v>
      </c>
      <c r="C1390" s="4" t="s">
        <v>344</v>
      </c>
      <c r="D1390" s="3" t="s">
        <v>52</v>
      </c>
      <c r="E1390" s="7">
        <v>199</v>
      </c>
      <c r="F1390" s="5">
        <f>IFERROR(VLOOKUP(D1390, Sheet2!$A:$C, 3, FALSE), 0)</f>
        <v>5999.9999999999991</v>
      </c>
      <c r="G1390" s="6">
        <f t="shared" si="22"/>
        <v>1193999.9999999998</v>
      </c>
    </row>
    <row r="1391" spans="1:7" ht="17.25" x14ac:dyDescent="0.3">
      <c r="A1391" s="3" t="s">
        <v>308</v>
      </c>
      <c r="B1391" s="3" t="s">
        <v>8</v>
      </c>
      <c r="C1391" s="4" t="s">
        <v>215</v>
      </c>
      <c r="D1391" s="3" t="s">
        <v>178</v>
      </c>
      <c r="E1391" s="7">
        <v>983</v>
      </c>
      <c r="F1391" s="5">
        <f>IFERROR(VLOOKUP(D1391, Sheet2!$A:$C, 3, FALSE), 0)</f>
        <v>8545.4545454545441</v>
      </c>
      <c r="G1391" s="6">
        <f t="shared" si="22"/>
        <v>8400181.8181818165</v>
      </c>
    </row>
    <row r="1392" spans="1:7" ht="17.25" x14ac:dyDescent="0.3">
      <c r="A1392" s="22" t="s">
        <v>308</v>
      </c>
      <c r="B1392" s="3" t="s">
        <v>33</v>
      </c>
      <c r="C1392" s="4" t="s">
        <v>342</v>
      </c>
      <c r="D1392" s="3" t="s">
        <v>35</v>
      </c>
      <c r="E1392" s="7">
        <v>97</v>
      </c>
      <c r="F1392" s="5">
        <f>IFERROR(VLOOKUP(D1392, Sheet2!$A:$C, 3, FALSE), 0)</f>
        <v>8363.6363636363621</v>
      </c>
      <c r="G1392" s="6">
        <f t="shared" si="22"/>
        <v>811272.72727272718</v>
      </c>
    </row>
    <row r="1393" spans="1:7" ht="17.25" x14ac:dyDescent="0.3">
      <c r="A1393" s="3" t="s">
        <v>308</v>
      </c>
      <c r="B1393" s="3" t="s">
        <v>33</v>
      </c>
      <c r="C1393" s="4" t="s">
        <v>337</v>
      </c>
      <c r="D1393" s="3" t="s">
        <v>9</v>
      </c>
      <c r="E1393" s="7">
        <v>773</v>
      </c>
      <c r="F1393" s="5">
        <f>IFERROR(VLOOKUP(D1393, Sheet2!$A:$C, 3, FALSE), 0)</f>
        <v>18636.363636363636</v>
      </c>
      <c r="G1393" s="6">
        <f t="shared" si="22"/>
        <v>14405909.09090909</v>
      </c>
    </row>
    <row r="1394" spans="1:7" ht="17.25" x14ac:dyDescent="0.3">
      <c r="A1394" s="22" t="s">
        <v>308</v>
      </c>
      <c r="B1394" s="3" t="s">
        <v>99</v>
      </c>
      <c r="C1394" s="4" t="s">
        <v>341</v>
      </c>
      <c r="D1394" s="4" t="s">
        <v>17</v>
      </c>
      <c r="E1394" s="7">
        <v>234</v>
      </c>
      <c r="F1394" s="5">
        <f>IFERROR(VLOOKUP(D1394, Sheet2!$A:$C, 3, FALSE), 0)</f>
        <v>11700</v>
      </c>
      <c r="G1394" s="6">
        <f t="shared" si="22"/>
        <v>2737800</v>
      </c>
    </row>
    <row r="1395" spans="1:7" ht="17.25" x14ac:dyDescent="0.3">
      <c r="A1395" s="3" t="s">
        <v>309</v>
      </c>
      <c r="B1395" s="3" t="s">
        <v>24</v>
      </c>
      <c r="C1395" s="4" t="s">
        <v>338</v>
      </c>
      <c r="D1395" s="11" t="s">
        <v>28</v>
      </c>
      <c r="E1395" s="10">
        <v>301</v>
      </c>
      <c r="F1395" s="5">
        <f>IFERROR(VLOOKUP(D1395, Sheet2!$A:$C, 3, FALSE), 0)</f>
        <v>7899.9999999999991</v>
      </c>
      <c r="G1395" s="6">
        <f t="shared" si="22"/>
        <v>2377899.9999999995</v>
      </c>
    </row>
    <row r="1396" spans="1:7" ht="17.25" x14ac:dyDescent="0.3">
      <c r="A1396" s="3" t="s">
        <v>309</v>
      </c>
      <c r="B1396" s="3" t="s">
        <v>24</v>
      </c>
      <c r="C1396" s="4" t="s">
        <v>338</v>
      </c>
      <c r="D1396" s="3" t="s">
        <v>36</v>
      </c>
      <c r="E1396" s="7">
        <v>231</v>
      </c>
      <c r="F1396" s="5">
        <f>IFERROR(VLOOKUP(D1396, Sheet2!$A:$C, 3, FALSE), 0)</f>
        <v>7899.9999999999991</v>
      </c>
      <c r="G1396" s="6">
        <f t="shared" si="22"/>
        <v>1824899.9999999998</v>
      </c>
    </row>
    <row r="1397" spans="1:7" ht="17.25" x14ac:dyDescent="0.3">
      <c r="A1397" s="22" t="s">
        <v>309</v>
      </c>
      <c r="B1397" s="3" t="s">
        <v>75</v>
      </c>
      <c r="C1397" s="4" t="s">
        <v>215</v>
      </c>
      <c r="D1397" s="11" t="s">
        <v>264</v>
      </c>
      <c r="E1397" s="7">
        <v>573</v>
      </c>
      <c r="F1397" s="5">
        <f>IFERROR(VLOOKUP(D1397, Sheet2!$A:$C, 3, FALSE), 0)</f>
        <v>4454.545454545454</v>
      </c>
      <c r="G1397" s="6">
        <f t="shared" si="22"/>
        <v>2552454.5454545449</v>
      </c>
    </row>
    <row r="1398" spans="1:7" ht="17.25" x14ac:dyDescent="0.3">
      <c r="A1398" s="22" t="s">
        <v>309</v>
      </c>
      <c r="B1398" s="3" t="s">
        <v>8</v>
      </c>
      <c r="C1398" s="4" t="s">
        <v>215</v>
      </c>
      <c r="D1398" s="11" t="s">
        <v>264</v>
      </c>
      <c r="E1398" s="7">
        <v>407</v>
      </c>
      <c r="F1398" s="5">
        <f>IFERROR(VLOOKUP(D1398, Sheet2!$A:$C, 3, FALSE), 0)</f>
        <v>4454.545454545454</v>
      </c>
      <c r="G1398" s="6">
        <f t="shared" si="22"/>
        <v>1812999.9999999998</v>
      </c>
    </row>
    <row r="1399" spans="1:7" ht="17.25" x14ac:dyDescent="0.3">
      <c r="A1399" s="22" t="s">
        <v>309</v>
      </c>
      <c r="B1399" s="3" t="s">
        <v>8</v>
      </c>
      <c r="C1399" s="4" t="s">
        <v>344</v>
      </c>
      <c r="D1399" s="3" t="s">
        <v>22</v>
      </c>
      <c r="E1399" s="7">
        <v>266</v>
      </c>
      <c r="F1399" s="5">
        <f>IFERROR(VLOOKUP(D1399, Sheet2!$A:$C, 3, FALSE), 0)</f>
        <v>5999.9999999999991</v>
      </c>
      <c r="G1399" s="6">
        <f t="shared" si="22"/>
        <v>1595999.9999999998</v>
      </c>
    </row>
    <row r="1400" spans="1:7" ht="17.25" x14ac:dyDescent="0.3">
      <c r="A1400" s="22" t="s">
        <v>309</v>
      </c>
      <c r="B1400" s="3" t="s">
        <v>60</v>
      </c>
      <c r="C1400" s="4" t="s">
        <v>339</v>
      </c>
      <c r="D1400" s="3" t="s">
        <v>10</v>
      </c>
      <c r="E1400" s="7">
        <v>150</v>
      </c>
      <c r="F1400" s="5">
        <f>IFERROR(VLOOKUP(D1400, Sheet2!$A:$C, 3, FALSE), 0)</f>
        <v>20818.181818181816</v>
      </c>
      <c r="G1400" s="6">
        <f t="shared" si="22"/>
        <v>3122727.2727272725</v>
      </c>
    </row>
    <row r="1401" spans="1:7" ht="17.25" x14ac:dyDescent="0.3">
      <c r="A1401" s="22" t="s">
        <v>309</v>
      </c>
      <c r="B1401" s="3" t="s">
        <v>103</v>
      </c>
      <c r="C1401" s="4" t="s">
        <v>338</v>
      </c>
      <c r="D1401" s="3" t="s">
        <v>36</v>
      </c>
      <c r="E1401" s="7">
        <v>302</v>
      </c>
      <c r="F1401" s="5">
        <f>IFERROR(VLOOKUP(D1401, Sheet2!$A:$C, 3, FALSE), 0)</f>
        <v>7899.9999999999991</v>
      </c>
      <c r="G1401" s="6">
        <f t="shared" si="22"/>
        <v>2385799.9999999995</v>
      </c>
    </row>
    <row r="1402" spans="1:7" ht="17.25" x14ac:dyDescent="0.3">
      <c r="A1402" s="22" t="s">
        <v>310</v>
      </c>
      <c r="B1402" s="3" t="s">
        <v>21</v>
      </c>
      <c r="C1402" s="4" t="s">
        <v>215</v>
      </c>
      <c r="D1402" s="3" t="s">
        <v>177</v>
      </c>
      <c r="E1402" s="7">
        <v>732</v>
      </c>
      <c r="F1402" s="5">
        <f>IFERROR(VLOOKUP(D1402, Sheet2!$A:$C, 3, FALSE), 0)</f>
        <v>10000</v>
      </c>
      <c r="G1402" s="6">
        <f t="shared" si="22"/>
        <v>7320000</v>
      </c>
    </row>
    <row r="1403" spans="1:7" ht="17.25" x14ac:dyDescent="0.3">
      <c r="A1403" s="3" t="s">
        <v>310</v>
      </c>
      <c r="B1403" s="3" t="s">
        <v>25</v>
      </c>
      <c r="C1403" s="4" t="s">
        <v>344</v>
      </c>
      <c r="D1403" s="3" t="s">
        <v>44</v>
      </c>
      <c r="E1403" s="7">
        <v>243</v>
      </c>
      <c r="F1403" s="5">
        <f>IFERROR(VLOOKUP(D1403, Sheet2!$A:$C, 3, FALSE), 0)</f>
        <v>5909.090909090909</v>
      </c>
      <c r="G1403" s="6">
        <f t="shared" si="22"/>
        <v>1435909.0909090908</v>
      </c>
    </row>
    <row r="1404" spans="1:7" ht="17.25" x14ac:dyDescent="0.3">
      <c r="A1404" s="3" t="s">
        <v>310</v>
      </c>
      <c r="B1404" s="3" t="s">
        <v>75</v>
      </c>
      <c r="C1404" s="4" t="s">
        <v>344</v>
      </c>
      <c r="D1404" s="3" t="s">
        <v>15</v>
      </c>
      <c r="E1404" s="7">
        <v>369</v>
      </c>
      <c r="F1404" s="5">
        <f>IFERROR(VLOOKUP(D1404, Sheet2!$A:$C, 3, FALSE), 0)</f>
        <v>3863.6363636363635</v>
      </c>
      <c r="G1404" s="6">
        <f t="shared" si="22"/>
        <v>1425681.8181818181</v>
      </c>
    </row>
    <row r="1405" spans="1:7" ht="17.25" x14ac:dyDescent="0.3">
      <c r="A1405" s="3" t="s">
        <v>310</v>
      </c>
      <c r="B1405" s="3" t="s">
        <v>48</v>
      </c>
      <c r="C1405" s="4" t="s">
        <v>215</v>
      </c>
      <c r="D1405" s="3" t="s">
        <v>264</v>
      </c>
      <c r="E1405" s="7">
        <v>368</v>
      </c>
      <c r="F1405" s="5">
        <f>IFERROR(VLOOKUP(D1405, Sheet2!$A:$C, 3, FALSE), 0)</f>
        <v>4454.545454545454</v>
      </c>
      <c r="G1405" s="6">
        <f t="shared" si="22"/>
        <v>1639272.7272727271</v>
      </c>
    </row>
    <row r="1406" spans="1:7" ht="17.25" x14ac:dyDescent="0.3">
      <c r="A1406" s="3" t="s">
        <v>310</v>
      </c>
      <c r="B1406" s="3" t="s">
        <v>11</v>
      </c>
      <c r="C1406" s="4" t="s">
        <v>337</v>
      </c>
      <c r="D1406" s="3" t="s">
        <v>94</v>
      </c>
      <c r="E1406" s="7">
        <v>1000</v>
      </c>
      <c r="F1406" s="5">
        <f>IFERROR(VLOOKUP(D1406, Sheet2!$A:$C, 3, FALSE), 0)</f>
        <v>14181.81818181818</v>
      </c>
      <c r="G1406" s="6">
        <f t="shared" si="22"/>
        <v>14181818.18181818</v>
      </c>
    </row>
    <row r="1407" spans="1:7" ht="17.25" x14ac:dyDescent="0.3">
      <c r="A1407" s="3" t="s">
        <v>310</v>
      </c>
      <c r="B1407" s="3" t="s">
        <v>43</v>
      </c>
      <c r="C1407" s="4" t="s">
        <v>337</v>
      </c>
      <c r="D1407" s="3" t="s">
        <v>144</v>
      </c>
      <c r="E1407" s="7">
        <v>1366</v>
      </c>
      <c r="F1407" s="5">
        <f>IFERROR(VLOOKUP(D1407, Sheet2!$A:$C, 3, FALSE), 0)</f>
        <v>10272.727272727272</v>
      </c>
      <c r="G1407" s="6">
        <f t="shared" si="22"/>
        <v>14032545.454545453</v>
      </c>
    </row>
    <row r="1408" spans="1:7" ht="17.25" x14ac:dyDescent="0.3">
      <c r="A1408" s="3" t="s">
        <v>310</v>
      </c>
      <c r="B1408" s="3" t="s">
        <v>43</v>
      </c>
      <c r="C1408" s="4" t="s">
        <v>337</v>
      </c>
      <c r="D1408" s="9" t="s">
        <v>70</v>
      </c>
      <c r="E1408" s="7">
        <v>361</v>
      </c>
      <c r="F1408" s="5">
        <f>IFERROR(VLOOKUP(D1408, Sheet2!$A:$C, 3, FALSE), 0)</f>
        <v>18636.363636363636</v>
      </c>
      <c r="G1408" s="6">
        <f t="shared" si="22"/>
        <v>6727727.2727272725</v>
      </c>
    </row>
    <row r="1409" spans="1:7" ht="17.25" x14ac:dyDescent="0.3">
      <c r="A1409" s="3" t="s">
        <v>310</v>
      </c>
      <c r="B1409" s="3" t="s">
        <v>33</v>
      </c>
      <c r="C1409" s="4" t="s">
        <v>341</v>
      </c>
      <c r="D1409" s="4" t="s">
        <v>68</v>
      </c>
      <c r="E1409" s="7">
        <v>116</v>
      </c>
      <c r="F1409" s="5">
        <f>IFERROR(VLOOKUP(D1409, Sheet2!$A:$C, 3, FALSE), 0)</f>
        <v>13400</v>
      </c>
      <c r="G1409" s="6">
        <f t="shared" si="22"/>
        <v>1554400</v>
      </c>
    </row>
    <row r="1410" spans="1:7" ht="17.25" x14ac:dyDescent="0.3">
      <c r="A1410" s="22" t="s">
        <v>310</v>
      </c>
      <c r="B1410" s="3" t="s">
        <v>33</v>
      </c>
      <c r="C1410" s="4" t="s">
        <v>337</v>
      </c>
      <c r="D1410" s="3" t="s">
        <v>144</v>
      </c>
      <c r="E1410" s="7">
        <v>775</v>
      </c>
      <c r="F1410" s="5">
        <f>IFERROR(VLOOKUP(D1410, Sheet2!$A:$C, 3, FALSE), 0)</f>
        <v>10272.727272727272</v>
      </c>
      <c r="G1410" s="6">
        <f t="shared" si="22"/>
        <v>7961363.6363636358</v>
      </c>
    </row>
    <row r="1411" spans="1:7" ht="17.25" x14ac:dyDescent="0.3">
      <c r="A1411" s="3" t="s">
        <v>310</v>
      </c>
      <c r="B1411" s="23" t="s">
        <v>33</v>
      </c>
      <c r="C1411" s="4" t="s">
        <v>344</v>
      </c>
      <c r="D1411" s="3" t="s">
        <v>44</v>
      </c>
      <c r="E1411" s="7">
        <v>350</v>
      </c>
      <c r="F1411" s="5">
        <f>IFERROR(VLOOKUP(D1411, Sheet2!$A:$C, 3, FALSE), 0)</f>
        <v>5909.090909090909</v>
      </c>
      <c r="G1411" s="6">
        <f t="shared" si="22"/>
        <v>2068181.8181818181</v>
      </c>
    </row>
    <row r="1412" spans="1:7" ht="17.25" x14ac:dyDescent="0.3">
      <c r="A1412" s="22" t="s">
        <v>310</v>
      </c>
      <c r="B1412" s="3" t="s">
        <v>33</v>
      </c>
      <c r="C1412" s="4" t="s">
        <v>341</v>
      </c>
      <c r="D1412" s="4" t="s">
        <v>110</v>
      </c>
      <c r="E1412" s="7">
        <v>64</v>
      </c>
      <c r="F1412" s="5">
        <f>IFERROR(VLOOKUP(D1412, Sheet2!$A:$C, 3, FALSE), 0)</f>
        <v>2500</v>
      </c>
      <c r="G1412" s="6">
        <f t="shared" si="22"/>
        <v>160000</v>
      </c>
    </row>
    <row r="1413" spans="1:7" ht="17.25" x14ac:dyDescent="0.3">
      <c r="A1413" s="22" t="s">
        <v>310</v>
      </c>
      <c r="B1413" s="3" t="s">
        <v>19</v>
      </c>
      <c r="C1413" s="4" t="s">
        <v>341</v>
      </c>
      <c r="D1413" s="4" t="s">
        <v>17</v>
      </c>
      <c r="E1413" s="7">
        <v>30</v>
      </c>
      <c r="F1413" s="5">
        <f>IFERROR(VLOOKUP(D1413, Sheet2!$A:$C, 3, FALSE), 0)</f>
        <v>11700</v>
      </c>
      <c r="G1413" s="6">
        <f t="shared" si="22"/>
        <v>351000</v>
      </c>
    </row>
    <row r="1414" spans="1:7" ht="17.25" x14ac:dyDescent="0.3">
      <c r="A1414" s="3" t="s">
        <v>311</v>
      </c>
      <c r="B1414" s="3" t="s">
        <v>103</v>
      </c>
      <c r="C1414" s="4" t="s">
        <v>344</v>
      </c>
      <c r="D1414" s="3" t="s">
        <v>20</v>
      </c>
      <c r="E1414" s="7">
        <v>232</v>
      </c>
      <c r="F1414" s="5">
        <f>IFERROR(VLOOKUP(D1414, Sheet2!$A:$C, 3, FALSE), 0)</f>
        <v>6999.9999999999991</v>
      </c>
      <c r="G1414" s="6">
        <f t="shared" si="22"/>
        <v>1623999.9999999998</v>
      </c>
    </row>
    <row r="1415" spans="1:7" ht="17.25" x14ac:dyDescent="0.3">
      <c r="A1415" s="22" t="s">
        <v>311</v>
      </c>
      <c r="B1415" s="3" t="s">
        <v>31</v>
      </c>
      <c r="C1415" s="4" t="s">
        <v>338</v>
      </c>
      <c r="D1415" s="3" t="s">
        <v>36</v>
      </c>
      <c r="E1415" s="7">
        <v>511</v>
      </c>
      <c r="F1415" s="5">
        <f>IFERROR(VLOOKUP(D1415, Sheet2!$A:$C, 3, FALSE), 0)</f>
        <v>7899.9999999999991</v>
      </c>
      <c r="G1415" s="6">
        <f t="shared" si="22"/>
        <v>4036899.9999999995</v>
      </c>
    </row>
    <row r="1416" spans="1:7" ht="17.25" x14ac:dyDescent="0.3">
      <c r="A1416" s="22" t="s">
        <v>311</v>
      </c>
      <c r="B1416" s="3" t="s">
        <v>25</v>
      </c>
      <c r="C1416" s="4" t="s">
        <v>344</v>
      </c>
      <c r="D1416" s="3" t="s">
        <v>32</v>
      </c>
      <c r="E1416" s="7">
        <v>622</v>
      </c>
      <c r="F1416" s="5">
        <f>IFERROR(VLOOKUP(D1416, Sheet2!$A:$C, 3, FALSE), 0)</f>
        <v>4363.6363636363631</v>
      </c>
      <c r="G1416" s="6">
        <f t="shared" si="22"/>
        <v>2714181.8181818179</v>
      </c>
    </row>
    <row r="1417" spans="1:7" ht="17.25" x14ac:dyDescent="0.3">
      <c r="A1417" s="3" t="s">
        <v>311</v>
      </c>
      <c r="B1417" s="3" t="s">
        <v>25</v>
      </c>
      <c r="C1417" s="4" t="s">
        <v>337</v>
      </c>
      <c r="D1417" s="3" t="s">
        <v>70</v>
      </c>
      <c r="E1417" s="7">
        <v>781</v>
      </c>
      <c r="F1417" s="5">
        <f>IFERROR(VLOOKUP(D1417, Sheet2!$A:$C, 3, FALSE), 0)</f>
        <v>18636.363636363636</v>
      </c>
      <c r="G1417" s="6">
        <f t="shared" si="22"/>
        <v>14555000</v>
      </c>
    </row>
    <row r="1418" spans="1:7" ht="17.25" x14ac:dyDescent="0.3">
      <c r="A1418" s="22" t="s">
        <v>311</v>
      </c>
      <c r="B1418" s="3" t="s">
        <v>102</v>
      </c>
      <c r="C1418" s="4" t="s">
        <v>344</v>
      </c>
      <c r="D1418" s="3" t="s">
        <v>22</v>
      </c>
      <c r="E1418" s="7">
        <v>175</v>
      </c>
      <c r="F1418" s="5">
        <f>IFERROR(VLOOKUP(D1418, Sheet2!$A:$C, 3, FALSE), 0)</f>
        <v>5999.9999999999991</v>
      </c>
      <c r="G1418" s="6">
        <f t="shared" si="22"/>
        <v>1049999.9999999998</v>
      </c>
    </row>
    <row r="1419" spans="1:7" ht="17.25" x14ac:dyDescent="0.3">
      <c r="A1419" s="3" t="s">
        <v>311</v>
      </c>
      <c r="B1419" s="3" t="s">
        <v>48</v>
      </c>
      <c r="C1419" s="4" t="s">
        <v>338</v>
      </c>
      <c r="D1419" s="3" t="s">
        <v>36</v>
      </c>
      <c r="E1419" s="7">
        <v>341</v>
      </c>
      <c r="F1419" s="5">
        <f>IFERROR(VLOOKUP(D1419, Sheet2!$A:$C, 3, FALSE), 0)</f>
        <v>7899.9999999999991</v>
      </c>
      <c r="G1419" s="6">
        <f t="shared" si="22"/>
        <v>2693899.9999999995</v>
      </c>
    </row>
    <row r="1420" spans="1:7" ht="17.25" x14ac:dyDescent="0.3">
      <c r="A1420" s="3" t="s">
        <v>311</v>
      </c>
      <c r="B1420" s="3" t="s">
        <v>48</v>
      </c>
      <c r="C1420" s="4" t="s">
        <v>337</v>
      </c>
      <c r="D1420" s="3" t="s">
        <v>94</v>
      </c>
      <c r="E1420" s="7">
        <v>857</v>
      </c>
      <c r="F1420" s="5">
        <f>IFERROR(VLOOKUP(D1420, Sheet2!$A:$C, 3, FALSE), 0)</f>
        <v>14181.81818181818</v>
      </c>
      <c r="G1420" s="6">
        <f t="shared" si="22"/>
        <v>12153818.18181818</v>
      </c>
    </row>
    <row r="1421" spans="1:7" ht="17.25" x14ac:dyDescent="0.3">
      <c r="A1421" s="22" t="s">
        <v>311</v>
      </c>
      <c r="B1421" s="3" t="s">
        <v>63</v>
      </c>
      <c r="C1421" s="4" t="s">
        <v>216</v>
      </c>
      <c r="D1421" s="3" t="s">
        <v>37</v>
      </c>
      <c r="E1421" s="7">
        <v>40</v>
      </c>
      <c r="F1421" s="5">
        <f>IFERROR(VLOOKUP(D1421, Sheet2!$A:$C, 3, FALSE), 0)</f>
        <v>6799.9999999999991</v>
      </c>
      <c r="G1421" s="6">
        <f t="shared" si="22"/>
        <v>271999.99999999994</v>
      </c>
    </row>
    <row r="1422" spans="1:7" ht="17.25" x14ac:dyDescent="0.3">
      <c r="A1422" s="22" t="s">
        <v>311</v>
      </c>
      <c r="B1422" s="23" t="s">
        <v>33</v>
      </c>
      <c r="C1422" s="4" t="s">
        <v>343</v>
      </c>
      <c r="D1422" s="3" t="s">
        <v>109</v>
      </c>
      <c r="E1422" s="7">
        <v>1132</v>
      </c>
      <c r="F1422" s="5">
        <f>IFERROR(VLOOKUP(D1422, Sheet2!$A:$C, 3, FALSE), 0)</f>
        <v>10454.545454545454</v>
      </c>
      <c r="G1422" s="6">
        <f t="shared" si="22"/>
        <v>11834545.454545453</v>
      </c>
    </row>
    <row r="1423" spans="1:7" ht="17.25" x14ac:dyDescent="0.3">
      <c r="A1423" s="3" t="s">
        <v>311</v>
      </c>
      <c r="B1423" s="3" t="s">
        <v>33</v>
      </c>
      <c r="C1423" s="4" t="s">
        <v>341</v>
      </c>
      <c r="D1423" s="4" t="s">
        <v>110</v>
      </c>
      <c r="E1423" s="7">
        <v>76</v>
      </c>
      <c r="F1423" s="5">
        <f>IFERROR(VLOOKUP(D1423, Sheet2!$A:$C, 3, FALSE), 0)</f>
        <v>2500</v>
      </c>
      <c r="G1423" s="6">
        <f t="shared" si="22"/>
        <v>190000</v>
      </c>
    </row>
    <row r="1424" spans="1:7" ht="17.25" x14ac:dyDescent="0.3">
      <c r="A1424" s="22" t="s">
        <v>311</v>
      </c>
      <c r="B1424" s="3" t="s">
        <v>24</v>
      </c>
      <c r="C1424" s="4" t="s">
        <v>344</v>
      </c>
      <c r="D1424" s="3" t="s">
        <v>56</v>
      </c>
      <c r="E1424" s="7">
        <v>164</v>
      </c>
      <c r="F1424" s="5">
        <f>IFERROR(VLOOKUP(D1424, Sheet2!$A:$C, 3, FALSE), 0)</f>
        <v>5545.454545454545</v>
      </c>
      <c r="G1424" s="6">
        <f t="shared" ref="G1424:G1487" si="23">E1424*F1424</f>
        <v>909454.54545454541</v>
      </c>
    </row>
    <row r="1425" spans="1:7" ht="17.25" x14ac:dyDescent="0.3">
      <c r="A1425" s="3" t="s">
        <v>312</v>
      </c>
      <c r="B1425" s="3" t="s">
        <v>24</v>
      </c>
      <c r="C1425" s="4" t="s">
        <v>338</v>
      </c>
      <c r="D1425" s="3" t="s">
        <v>73</v>
      </c>
      <c r="E1425" s="7">
        <v>319</v>
      </c>
      <c r="F1425" s="5">
        <f>IFERROR(VLOOKUP(D1425, Sheet2!$A:$C, 3, FALSE), 0)</f>
        <v>7899.9999999999991</v>
      </c>
      <c r="G1425" s="6">
        <f t="shared" si="23"/>
        <v>2520099.9999999995</v>
      </c>
    </row>
    <row r="1426" spans="1:7" ht="17.25" x14ac:dyDescent="0.3">
      <c r="A1426" s="3" t="s">
        <v>312</v>
      </c>
      <c r="B1426" s="3" t="s">
        <v>24</v>
      </c>
      <c r="C1426" s="4" t="s">
        <v>344</v>
      </c>
      <c r="D1426" s="3" t="s">
        <v>313</v>
      </c>
      <c r="E1426" s="7">
        <v>4691</v>
      </c>
      <c r="F1426" s="5">
        <f>IFERROR(VLOOKUP(D1426, Sheet2!$A:$C, 3, FALSE), 0)</f>
        <v>727.27272727272725</v>
      </c>
      <c r="G1426" s="6">
        <f t="shared" si="23"/>
        <v>3411636.3636363638</v>
      </c>
    </row>
    <row r="1427" spans="1:7" ht="17.25" x14ac:dyDescent="0.3">
      <c r="A1427" s="3" t="s">
        <v>312</v>
      </c>
      <c r="B1427" s="3" t="s">
        <v>24</v>
      </c>
      <c r="C1427" s="4" t="s">
        <v>341</v>
      </c>
      <c r="D1427" s="4" t="s">
        <v>68</v>
      </c>
      <c r="E1427" s="7">
        <v>90</v>
      </c>
      <c r="F1427" s="5">
        <f>IFERROR(VLOOKUP(D1427, Sheet2!$A:$C, 3, FALSE), 0)</f>
        <v>13400</v>
      </c>
      <c r="G1427" s="6">
        <f t="shared" si="23"/>
        <v>1206000</v>
      </c>
    </row>
    <row r="1428" spans="1:7" ht="17.25" x14ac:dyDescent="0.3">
      <c r="A1428" s="22" t="s">
        <v>312</v>
      </c>
      <c r="B1428" s="3" t="s">
        <v>24</v>
      </c>
      <c r="C1428" s="4" t="s">
        <v>339</v>
      </c>
      <c r="D1428" s="3" t="s">
        <v>10</v>
      </c>
      <c r="E1428" s="7">
        <v>500</v>
      </c>
      <c r="F1428" s="5">
        <f>IFERROR(VLOOKUP(D1428, Sheet2!$A:$C, 3, FALSE), 0)</f>
        <v>20818.181818181816</v>
      </c>
      <c r="G1428" s="6">
        <f t="shared" si="23"/>
        <v>10409090.909090908</v>
      </c>
    </row>
    <row r="1429" spans="1:7" ht="17.25" x14ac:dyDescent="0.3">
      <c r="A1429" s="3" t="s">
        <v>315</v>
      </c>
      <c r="B1429" s="3" t="s">
        <v>21</v>
      </c>
      <c r="C1429" s="4" t="s">
        <v>344</v>
      </c>
      <c r="D1429" s="3" t="s">
        <v>20</v>
      </c>
      <c r="E1429" s="25">
        <v>340</v>
      </c>
      <c r="F1429" s="5">
        <f>IFERROR(VLOOKUP(D1429, Sheet2!$A:$C, 3, FALSE), 0)</f>
        <v>6999.9999999999991</v>
      </c>
      <c r="G1429" s="6">
        <f t="shared" si="23"/>
        <v>2379999.9999999995</v>
      </c>
    </row>
    <row r="1430" spans="1:7" ht="17.25" x14ac:dyDescent="0.3">
      <c r="A1430" s="3" t="s">
        <v>315</v>
      </c>
      <c r="B1430" s="3" t="s">
        <v>69</v>
      </c>
      <c r="C1430" s="4" t="s">
        <v>341</v>
      </c>
      <c r="D1430" s="4" t="s">
        <v>68</v>
      </c>
      <c r="E1430" s="25">
        <f>0.1*10000/3</f>
        <v>333.33333333333331</v>
      </c>
      <c r="F1430" s="5">
        <f>IFERROR(VLOOKUP(D1430, Sheet2!$A:$C, 3, FALSE), 0)</f>
        <v>13400</v>
      </c>
      <c r="G1430" s="6">
        <f t="shared" si="23"/>
        <v>4466666.666666666</v>
      </c>
    </row>
    <row r="1431" spans="1:7" ht="17.25" x14ac:dyDescent="0.3">
      <c r="A1431" s="3" t="s">
        <v>315</v>
      </c>
      <c r="B1431" s="3" t="s">
        <v>11</v>
      </c>
      <c r="C1431" s="4" t="s">
        <v>215</v>
      </c>
      <c r="D1431" s="3" t="s">
        <v>116</v>
      </c>
      <c r="E1431" s="25">
        <f>1*9000</f>
        <v>9000</v>
      </c>
      <c r="F1431" s="5">
        <f>IFERROR(VLOOKUP(D1431, Sheet2!$A:$C, 3, FALSE), 0)</f>
        <v>2045.4545454545453</v>
      </c>
      <c r="G1431" s="6">
        <f t="shared" si="23"/>
        <v>18409090.909090906</v>
      </c>
    </row>
    <row r="1432" spans="1:7" ht="17.25" x14ac:dyDescent="0.3">
      <c r="A1432" s="22" t="s">
        <v>315</v>
      </c>
      <c r="B1432" s="23" t="s">
        <v>33</v>
      </c>
      <c r="C1432" s="4" t="s">
        <v>344</v>
      </c>
      <c r="D1432" s="3" t="s">
        <v>44</v>
      </c>
      <c r="E1432" s="25">
        <f>0.05*4000</f>
        <v>200</v>
      </c>
      <c r="F1432" s="5">
        <f>IFERROR(VLOOKUP(D1432, Sheet2!$A:$C, 3, FALSE), 0)</f>
        <v>5909.090909090909</v>
      </c>
      <c r="G1432" s="6">
        <f t="shared" si="23"/>
        <v>1181818.1818181819</v>
      </c>
    </row>
    <row r="1433" spans="1:7" ht="17.25" x14ac:dyDescent="0.3">
      <c r="A1433" s="22" t="s">
        <v>315</v>
      </c>
      <c r="B1433" s="23" t="s">
        <v>33</v>
      </c>
      <c r="C1433" s="4" t="s">
        <v>341</v>
      </c>
      <c r="D1433" s="4" t="s">
        <v>68</v>
      </c>
      <c r="E1433" s="25">
        <f>0.1*4000/3</f>
        <v>133.33333333333334</v>
      </c>
      <c r="F1433" s="5">
        <f>IFERROR(VLOOKUP(D1433, Sheet2!$A:$C, 3, FALSE), 0)</f>
        <v>13400</v>
      </c>
      <c r="G1433" s="6">
        <f t="shared" si="23"/>
        <v>1786666.6666666667</v>
      </c>
    </row>
    <row r="1434" spans="1:7" ht="17.25" x14ac:dyDescent="0.3">
      <c r="A1434" s="22" t="s">
        <v>316</v>
      </c>
      <c r="B1434" s="3" t="s">
        <v>66</v>
      </c>
      <c r="C1434" s="4" t="s">
        <v>340</v>
      </c>
      <c r="D1434" s="3" t="s">
        <v>49</v>
      </c>
      <c r="E1434" s="25">
        <v>259</v>
      </c>
      <c r="F1434" s="5">
        <f>IFERROR(VLOOKUP(D1434, Sheet2!$A:$C, 3, FALSE), 0)</f>
        <v>38000</v>
      </c>
      <c r="G1434" s="6">
        <f t="shared" si="23"/>
        <v>9842000</v>
      </c>
    </row>
    <row r="1435" spans="1:7" ht="17.25" x14ac:dyDescent="0.3">
      <c r="A1435" s="22" t="s">
        <v>316</v>
      </c>
      <c r="B1435" s="3" t="s">
        <v>69</v>
      </c>
      <c r="C1435" s="4" t="s">
        <v>339</v>
      </c>
      <c r="D1435" s="3" t="s">
        <v>10</v>
      </c>
      <c r="E1435" s="25">
        <v>2230</v>
      </c>
      <c r="F1435" s="5">
        <f>IFERROR(VLOOKUP(D1435, Sheet2!$A:$C, 3, FALSE), 0)</f>
        <v>20818.181818181816</v>
      </c>
      <c r="G1435" s="6">
        <f t="shared" si="23"/>
        <v>46424545.454545453</v>
      </c>
    </row>
    <row r="1436" spans="1:7" ht="17.25" x14ac:dyDescent="0.3">
      <c r="A1436" s="3" t="s">
        <v>316</v>
      </c>
      <c r="B1436" s="3" t="s">
        <v>23</v>
      </c>
      <c r="C1436" s="4" t="s">
        <v>342</v>
      </c>
      <c r="D1436" s="3" t="s">
        <v>61</v>
      </c>
      <c r="E1436" s="25">
        <f>0.01*4000</f>
        <v>40</v>
      </c>
      <c r="F1436" s="5">
        <f>IFERROR(VLOOKUP(D1436, Sheet2!$A:$C, 3, FALSE), 0)</f>
        <v>7363.6363636363631</v>
      </c>
      <c r="G1436" s="6">
        <f t="shared" si="23"/>
        <v>294545.45454545453</v>
      </c>
    </row>
    <row r="1437" spans="1:7" ht="17.25" x14ac:dyDescent="0.3">
      <c r="A1437" s="3" t="s">
        <v>316</v>
      </c>
      <c r="B1437" s="3" t="s">
        <v>23</v>
      </c>
      <c r="C1437" s="4" t="s">
        <v>342</v>
      </c>
      <c r="D1437" s="3" t="s">
        <v>61</v>
      </c>
      <c r="E1437" s="25">
        <f>0.01*4000</f>
        <v>40</v>
      </c>
      <c r="F1437" s="5">
        <f>IFERROR(VLOOKUP(D1437, Sheet2!$A:$C, 3, FALSE), 0)</f>
        <v>7363.6363636363631</v>
      </c>
      <c r="G1437" s="6">
        <f t="shared" si="23"/>
        <v>294545.45454545453</v>
      </c>
    </row>
    <row r="1438" spans="1:7" ht="17.25" x14ac:dyDescent="0.3">
      <c r="A1438" s="22" t="s">
        <v>316</v>
      </c>
      <c r="B1438" s="3" t="s">
        <v>48</v>
      </c>
      <c r="C1438" s="4" t="s">
        <v>337</v>
      </c>
      <c r="D1438" s="3" t="s">
        <v>26</v>
      </c>
      <c r="E1438" s="25">
        <f>3400/2/3</f>
        <v>566.66666666666663</v>
      </c>
      <c r="F1438" s="5">
        <f>IFERROR(VLOOKUP(D1438, Sheet2!$A:$C, 3, FALSE), 0)</f>
        <v>21000</v>
      </c>
      <c r="G1438" s="6">
        <f t="shared" si="23"/>
        <v>11900000</v>
      </c>
    </row>
    <row r="1439" spans="1:7" ht="17.25" x14ac:dyDescent="0.3">
      <c r="A1439" s="3" t="s">
        <v>316</v>
      </c>
      <c r="B1439" s="3" t="s">
        <v>30</v>
      </c>
      <c r="C1439" s="4" t="s">
        <v>344</v>
      </c>
      <c r="D1439" s="3" t="s">
        <v>139</v>
      </c>
      <c r="E1439" s="25">
        <v>520</v>
      </c>
      <c r="F1439" s="5">
        <f>IFERROR(VLOOKUP(D1439, Sheet2!$A:$C, 3, FALSE), 0)</f>
        <v>4363.6363636363631</v>
      </c>
      <c r="G1439" s="6">
        <f t="shared" si="23"/>
        <v>2269090.9090909087</v>
      </c>
    </row>
    <row r="1440" spans="1:7" ht="17.25" x14ac:dyDescent="0.3">
      <c r="A1440" s="3" t="s">
        <v>316</v>
      </c>
      <c r="B1440" s="3" t="s">
        <v>8</v>
      </c>
      <c r="C1440" s="4" t="s">
        <v>339</v>
      </c>
      <c r="D1440" s="11" t="s">
        <v>10</v>
      </c>
      <c r="E1440" s="25">
        <v>150</v>
      </c>
      <c r="F1440" s="5">
        <f>IFERROR(VLOOKUP(D1440, Sheet2!$A:$C, 3, FALSE), 0)</f>
        <v>20818.181818181816</v>
      </c>
      <c r="G1440" s="6">
        <f t="shared" si="23"/>
        <v>3122727.2727272725</v>
      </c>
    </row>
    <row r="1441" spans="1:7" ht="17.25" x14ac:dyDescent="0.3">
      <c r="A1441" s="3" t="s">
        <v>316</v>
      </c>
      <c r="B1441" s="23" t="s">
        <v>33</v>
      </c>
      <c r="C1441" s="4" t="s">
        <v>344</v>
      </c>
      <c r="D1441" s="3" t="s">
        <v>139</v>
      </c>
      <c r="E1441" s="25">
        <f>0.05*4000/0.5</f>
        <v>400</v>
      </c>
      <c r="F1441" s="5">
        <f>IFERROR(VLOOKUP(D1441, Sheet2!$A:$C, 3, FALSE), 0)</f>
        <v>4363.6363636363631</v>
      </c>
      <c r="G1441" s="6">
        <f t="shared" si="23"/>
        <v>1745454.5454545452</v>
      </c>
    </row>
    <row r="1442" spans="1:7" ht="17.25" x14ac:dyDescent="0.3">
      <c r="A1442" s="3" t="s">
        <v>316</v>
      </c>
      <c r="B1442" s="23" t="s">
        <v>33</v>
      </c>
      <c r="C1442" s="4" t="s">
        <v>344</v>
      </c>
      <c r="D1442" s="3" t="s">
        <v>52</v>
      </c>
      <c r="E1442" s="25">
        <f>0.07*4000</f>
        <v>280</v>
      </c>
      <c r="F1442" s="5">
        <f>IFERROR(VLOOKUP(D1442, Sheet2!$A:$C, 3, FALSE), 0)</f>
        <v>5999.9999999999991</v>
      </c>
      <c r="G1442" s="6">
        <f t="shared" si="23"/>
        <v>1679999.9999999998</v>
      </c>
    </row>
    <row r="1443" spans="1:7" ht="17.25" x14ac:dyDescent="0.3">
      <c r="A1443" s="22" t="s">
        <v>316</v>
      </c>
      <c r="B1443" s="23" t="s">
        <v>33</v>
      </c>
      <c r="C1443" s="4" t="s">
        <v>341</v>
      </c>
      <c r="D1443" s="4" t="s">
        <v>110</v>
      </c>
      <c r="E1443" s="25">
        <f>0.015*4000/0.5</f>
        <v>120</v>
      </c>
      <c r="F1443" s="5">
        <f>IFERROR(VLOOKUP(D1443, Sheet2!$A:$C, 3, FALSE), 0)</f>
        <v>2500</v>
      </c>
      <c r="G1443" s="6">
        <f t="shared" si="23"/>
        <v>300000</v>
      </c>
    </row>
    <row r="1444" spans="1:7" ht="17.25" x14ac:dyDescent="0.3">
      <c r="A1444" s="22" t="s">
        <v>316</v>
      </c>
      <c r="B1444" s="23" t="s">
        <v>33</v>
      </c>
      <c r="C1444" s="4" t="s">
        <v>341</v>
      </c>
      <c r="D1444" s="4" t="s">
        <v>68</v>
      </c>
      <c r="E1444" s="25">
        <f>0.02*4000/3</f>
        <v>26.666666666666668</v>
      </c>
      <c r="F1444" s="5">
        <f>IFERROR(VLOOKUP(D1444, Sheet2!$A:$C, 3, FALSE), 0)</f>
        <v>13400</v>
      </c>
      <c r="G1444" s="6">
        <f t="shared" si="23"/>
        <v>357333.33333333337</v>
      </c>
    </row>
    <row r="1445" spans="1:7" ht="17.25" x14ac:dyDescent="0.3">
      <c r="A1445" s="3" t="s">
        <v>316</v>
      </c>
      <c r="B1445" s="3" t="s">
        <v>60</v>
      </c>
      <c r="C1445" s="4" t="s">
        <v>338</v>
      </c>
      <c r="D1445" s="3" t="s">
        <v>54</v>
      </c>
      <c r="E1445" s="25">
        <v>300</v>
      </c>
      <c r="F1445" s="5">
        <f>IFERROR(VLOOKUP(D1445, Sheet2!$A:$C, 3, FALSE), 0)</f>
        <v>7899.9999999999991</v>
      </c>
      <c r="G1445" s="6">
        <f t="shared" si="23"/>
        <v>2369999.9999999995</v>
      </c>
    </row>
    <row r="1446" spans="1:7" ht="17.25" x14ac:dyDescent="0.3">
      <c r="A1446" s="22" t="s">
        <v>316</v>
      </c>
      <c r="B1446" s="3" t="s">
        <v>60</v>
      </c>
      <c r="C1446" s="4" t="s">
        <v>337</v>
      </c>
      <c r="D1446" s="3" t="s">
        <v>127</v>
      </c>
      <c r="E1446" s="25">
        <v>300</v>
      </c>
      <c r="F1446" s="5">
        <f>IFERROR(VLOOKUP(D1446, Sheet2!$A:$C, 3, FALSE), 0)</f>
        <v>45000</v>
      </c>
      <c r="G1446" s="6">
        <f t="shared" si="23"/>
        <v>13500000</v>
      </c>
    </row>
    <row r="1447" spans="1:7" ht="17.25" x14ac:dyDescent="0.3">
      <c r="A1447" s="3" t="s">
        <v>316</v>
      </c>
      <c r="B1447" s="3" t="s">
        <v>60</v>
      </c>
      <c r="C1447" s="4" t="s">
        <v>337</v>
      </c>
      <c r="D1447" s="3" t="s">
        <v>9</v>
      </c>
      <c r="E1447" s="25">
        <v>500</v>
      </c>
      <c r="F1447" s="5">
        <f>IFERROR(VLOOKUP(D1447, Sheet2!$A:$C, 3, FALSE), 0)</f>
        <v>18636.363636363636</v>
      </c>
      <c r="G1447" s="6">
        <f t="shared" si="23"/>
        <v>9318181.8181818184</v>
      </c>
    </row>
    <row r="1448" spans="1:7" ht="17.25" x14ac:dyDescent="0.3">
      <c r="A1448" s="3" t="s">
        <v>317</v>
      </c>
      <c r="B1448" s="3" t="s">
        <v>103</v>
      </c>
      <c r="C1448" s="4" t="s">
        <v>337</v>
      </c>
      <c r="D1448" s="3" t="s">
        <v>78</v>
      </c>
      <c r="E1448" s="25">
        <v>1520</v>
      </c>
      <c r="F1448" s="5">
        <f>IFERROR(VLOOKUP(D1448, Sheet2!$A:$C, 3, FALSE), 0)</f>
        <v>14999.999999999998</v>
      </c>
      <c r="G1448" s="6">
        <f t="shared" si="23"/>
        <v>22799999.999999996</v>
      </c>
    </row>
    <row r="1449" spans="1:7" ht="17.25" x14ac:dyDescent="0.3">
      <c r="A1449" s="22" t="s">
        <v>317</v>
      </c>
      <c r="B1449" s="3" t="s">
        <v>46</v>
      </c>
      <c r="C1449" s="4" t="s">
        <v>342</v>
      </c>
      <c r="D1449" s="3" t="s">
        <v>61</v>
      </c>
      <c r="E1449" s="25">
        <v>389</v>
      </c>
      <c r="F1449" s="5">
        <f>IFERROR(VLOOKUP(D1449, Sheet2!$A:$C, 3, FALSE), 0)</f>
        <v>7363.6363636363631</v>
      </c>
      <c r="G1449" s="6">
        <f t="shared" si="23"/>
        <v>2864454.5454545454</v>
      </c>
    </row>
    <row r="1450" spans="1:7" ht="17.25" x14ac:dyDescent="0.3">
      <c r="A1450" s="3" t="s">
        <v>317</v>
      </c>
      <c r="B1450" s="3" t="s">
        <v>31</v>
      </c>
      <c r="C1450" s="4" t="s">
        <v>344</v>
      </c>
      <c r="D1450" s="3" t="s">
        <v>32</v>
      </c>
      <c r="E1450" s="25">
        <f>0.03*7000/0.6</f>
        <v>350</v>
      </c>
      <c r="F1450" s="5">
        <f>IFERROR(VLOOKUP(D1450, Sheet2!$A:$C, 3, FALSE), 0)</f>
        <v>4363.6363636363631</v>
      </c>
      <c r="G1450" s="6">
        <f t="shared" si="23"/>
        <v>1527272.7272727271</v>
      </c>
    </row>
    <row r="1451" spans="1:7" ht="17.25" x14ac:dyDescent="0.3">
      <c r="A1451" s="3" t="s">
        <v>317</v>
      </c>
      <c r="B1451" s="3" t="s">
        <v>69</v>
      </c>
      <c r="C1451" s="4" t="s">
        <v>341</v>
      </c>
      <c r="D1451" s="4" t="s">
        <v>68</v>
      </c>
      <c r="E1451" s="25">
        <f>(0.04*10000+0.1*10000)/3</f>
        <v>466.66666666666669</v>
      </c>
      <c r="F1451" s="5">
        <f>IFERROR(VLOOKUP(D1451, Sheet2!$A:$C, 3, FALSE), 0)</f>
        <v>13400</v>
      </c>
      <c r="G1451" s="6">
        <f t="shared" si="23"/>
        <v>6253333.333333334</v>
      </c>
    </row>
    <row r="1452" spans="1:7" ht="17.25" x14ac:dyDescent="0.3">
      <c r="A1452" s="3" t="s">
        <v>317</v>
      </c>
      <c r="B1452" s="3" t="s">
        <v>24</v>
      </c>
      <c r="C1452" s="4" t="s">
        <v>338</v>
      </c>
      <c r="D1452" s="3" t="s">
        <v>73</v>
      </c>
      <c r="E1452" s="25">
        <f>318/0.78</f>
        <v>407.69230769230768</v>
      </c>
      <c r="F1452" s="5">
        <f>IFERROR(VLOOKUP(D1452, Sheet2!$A:$C, 3, FALSE), 0)</f>
        <v>7899.9999999999991</v>
      </c>
      <c r="G1452" s="6">
        <f t="shared" si="23"/>
        <v>3220769.2307692305</v>
      </c>
    </row>
    <row r="1453" spans="1:7" ht="17.25" x14ac:dyDescent="0.3">
      <c r="A1453" s="3" t="s">
        <v>317</v>
      </c>
      <c r="B1453" s="3" t="s">
        <v>23</v>
      </c>
      <c r="C1453" s="4" t="s">
        <v>342</v>
      </c>
      <c r="D1453" s="3" t="s">
        <v>61</v>
      </c>
      <c r="E1453" s="25">
        <f>0.01*4000</f>
        <v>40</v>
      </c>
      <c r="F1453" s="5">
        <f>IFERROR(VLOOKUP(D1453, Sheet2!$A:$C, 3, FALSE), 0)</f>
        <v>7363.6363636363631</v>
      </c>
      <c r="G1453" s="6">
        <f t="shared" si="23"/>
        <v>294545.45454545453</v>
      </c>
    </row>
    <row r="1454" spans="1:7" ht="17.25" x14ac:dyDescent="0.3">
      <c r="A1454" s="22" t="s">
        <v>317</v>
      </c>
      <c r="B1454" s="3" t="s">
        <v>48</v>
      </c>
      <c r="C1454" s="4" t="s">
        <v>337</v>
      </c>
      <c r="D1454" s="3" t="s">
        <v>26</v>
      </c>
      <c r="E1454" s="25">
        <f>3400/2/3</f>
        <v>566.66666666666663</v>
      </c>
      <c r="F1454" s="5">
        <f>IFERROR(VLOOKUP(D1454, Sheet2!$A:$C, 3, FALSE), 0)</f>
        <v>21000</v>
      </c>
      <c r="G1454" s="6">
        <f t="shared" si="23"/>
        <v>11900000</v>
      </c>
    </row>
    <row r="1455" spans="1:7" ht="17.25" x14ac:dyDescent="0.3">
      <c r="A1455" s="22" t="s">
        <v>317</v>
      </c>
      <c r="B1455" s="23" t="s">
        <v>41</v>
      </c>
      <c r="C1455" s="4" t="s">
        <v>344</v>
      </c>
      <c r="D1455" s="4" t="s">
        <v>39</v>
      </c>
      <c r="E1455" s="26">
        <f>0.025*7000</f>
        <v>175</v>
      </c>
      <c r="F1455" s="5">
        <f>IFERROR(VLOOKUP(D1455, Sheet2!$A:$C, 3, FALSE), 0)</f>
        <v>3863.6363636363635</v>
      </c>
      <c r="G1455" s="6">
        <f t="shared" si="23"/>
        <v>676136.36363636365</v>
      </c>
    </row>
    <row r="1456" spans="1:7" ht="17.25" x14ac:dyDescent="0.3">
      <c r="A1456" s="22" t="s">
        <v>317</v>
      </c>
      <c r="B1456" s="3" t="s">
        <v>14</v>
      </c>
      <c r="C1456" s="4" t="s">
        <v>343</v>
      </c>
      <c r="D1456" s="3" t="s">
        <v>45</v>
      </c>
      <c r="E1456" s="25">
        <f>0.12*5800</f>
        <v>696</v>
      </c>
      <c r="F1456" s="5">
        <f>IFERROR(VLOOKUP(D1456, Sheet2!$A:$C, 3, FALSE), 0)</f>
        <v>10909.090909090908</v>
      </c>
      <c r="G1456" s="6">
        <f t="shared" si="23"/>
        <v>7592727.2727272725</v>
      </c>
    </row>
    <row r="1457" spans="1:7" ht="17.25" x14ac:dyDescent="0.3">
      <c r="A1457" s="3" t="s">
        <v>317</v>
      </c>
      <c r="B1457" s="3" t="s">
        <v>14</v>
      </c>
      <c r="C1457" s="4" t="s">
        <v>337</v>
      </c>
      <c r="D1457" s="3" t="s">
        <v>70</v>
      </c>
      <c r="E1457" s="25"/>
      <c r="F1457" s="5">
        <f>IFERROR(VLOOKUP(D1457, Sheet2!$A:$C, 3, FALSE), 0)</f>
        <v>18636.363636363636</v>
      </c>
      <c r="G1457" s="6">
        <f t="shared" si="23"/>
        <v>0</v>
      </c>
    </row>
    <row r="1458" spans="1:7" ht="17.25" x14ac:dyDescent="0.3">
      <c r="A1458" s="3" t="s">
        <v>318</v>
      </c>
      <c r="B1458" s="3" t="s">
        <v>5</v>
      </c>
      <c r="C1458" s="4" t="s">
        <v>339</v>
      </c>
      <c r="D1458" s="3" t="s">
        <v>97</v>
      </c>
      <c r="E1458" s="25">
        <v>450</v>
      </c>
      <c r="F1458" s="5">
        <f>IFERROR(VLOOKUP(D1458, Sheet2!$A:$C, 3, FALSE), 0)</f>
        <v>17181.81818181818</v>
      </c>
      <c r="G1458" s="6">
        <f t="shared" si="23"/>
        <v>7731818.1818181807</v>
      </c>
    </row>
    <row r="1459" spans="1:7" ht="17.25" x14ac:dyDescent="0.3">
      <c r="A1459" s="3" t="s">
        <v>318</v>
      </c>
      <c r="B1459" s="3" t="s">
        <v>31</v>
      </c>
      <c r="C1459" s="4" t="s">
        <v>343</v>
      </c>
      <c r="D1459" s="3" t="s">
        <v>45</v>
      </c>
      <c r="E1459" s="25">
        <f>0.13*7000</f>
        <v>910</v>
      </c>
      <c r="F1459" s="5">
        <f>IFERROR(VLOOKUP(D1459, Sheet2!$A:$C, 3, FALSE), 0)</f>
        <v>10909.090909090908</v>
      </c>
      <c r="G1459" s="6">
        <f t="shared" si="23"/>
        <v>9927272.7272727266</v>
      </c>
    </row>
    <row r="1460" spans="1:7" ht="17.25" x14ac:dyDescent="0.3">
      <c r="A1460" s="22" t="s">
        <v>318</v>
      </c>
      <c r="B1460" s="3" t="s">
        <v>69</v>
      </c>
      <c r="C1460" s="4" t="s">
        <v>341</v>
      </c>
      <c r="D1460" s="4" t="s">
        <v>68</v>
      </c>
      <c r="E1460" s="25">
        <f>(0.03*10000+0.03*10000)/3</f>
        <v>200</v>
      </c>
      <c r="F1460" s="5">
        <f>IFERROR(VLOOKUP(D1460, Sheet2!$A:$C, 3, FALSE), 0)</f>
        <v>13400</v>
      </c>
      <c r="G1460" s="6">
        <f t="shared" si="23"/>
        <v>2680000</v>
      </c>
    </row>
    <row r="1461" spans="1:7" ht="17.25" x14ac:dyDescent="0.3">
      <c r="A1461" s="3" t="s">
        <v>318</v>
      </c>
      <c r="B1461" s="3" t="s">
        <v>25</v>
      </c>
      <c r="C1461" s="4" t="s">
        <v>337</v>
      </c>
      <c r="D1461" s="3" t="s">
        <v>9</v>
      </c>
      <c r="E1461" s="25">
        <f>0.15*9300</f>
        <v>1395</v>
      </c>
      <c r="F1461" s="5">
        <f>IFERROR(VLOOKUP(D1461, Sheet2!$A:$C, 3, FALSE), 0)</f>
        <v>18636.363636363636</v>
      </c>
      <c r="G1461" s="6">
        <f t="shared" si="23"/>
        <v>25997727.272727273</v>
      </c>
    </row>
    <row r="1462" spans="1:7" ht="17.25" x14ac:dyDescent="0.3">
      <c r="A1462" s="22" t="s">
        <v>318</v>
      </c>
      <c r="B1462" s="3" t="s">
        <v>150</v>
      </c>
      <c r="C1462" s="4" t="s">
        <v>344</v>
      </c>
      <c r="D1462" s="3" t="s">
        <v>59</v>
      </c>
      <c r="E1462" s="25">
        <v>270</v>
      </c>
      <c r="F1462" s="5">
        <f>IFERROR(VLOOKUP(D1462, Sheet2!$A:$C, 3, FALSE), 0)</f>
        <v>4681.8181818181811</v>
      </c>
      <c r="G1462" s="6">
        <f t="shared" si="23"/>
        <v>1264090.9090909089</v>
      </c>
    </row>
    <row r="1463" spans="1:7" ht="17.25" x14ac:dyDescent="0.3">
      <c r="A1463" s="22" t="s">
        <v>318</v>
      </c>
      <c r="B1463" s="3" t="s">
        <v>11</v>
      </c>
      <c r="C1463" s="4" t="s">
        <v>344</v>
      </c>
      <c r="D1463" s="3" t="s">
        <v>120</v>
      </c>
      <c r="E1463" s="25">
        <f>0.055*9000</f>
        <v>495</v>
      </c>
      <c r="F1463" s="5">
        <f>IFERROR(VLOOKUP(D1463, Sheet2!$A:$C, 3, FALSE), 0)</f>
        <v>6272.7272727272721</v>
      </c>
      <c r="G1463" s="6">
        <f t="shared" si="23"/>
        <v>3104999.9999999995</v>
      </c>
    </row>
    <row r="1464" spans="1:7" ht="17.25" x14ac:dyDescent="0.3">
      <c r="A1464" s="22" t="s">
        <v>318</v>
      </c>
      <c r="B1464" s="23" t="s">
        <v>41</v>
      </c>
      <c r="C1464" s="4" t="s">
        <v>344</v>
      </c>
      <c r="D1464" s="4" t="s">
        <v>39</v>
      </c>
      <c r="E1464" s="26">
        <f>0.015*7000</f>
        <v>105</v>
      </c>
      <c r="F1464" s="5">
        <f>IFERROR(VLOOKUP(D1464, Sheet2!$A:$C, 3, FALSE), 0)</f>
        <v>3863.6363636363635</v>
      </c>
      <c r="G1464" s="6">
        <f t="shared" si="23"/>
        <v>405681.81818181818</v>
      </c>
    </row>
    <row r="1465" spans="1:7" ht="17.25" x14ac:dyDescent="0.3">
      <c r="A1465" s="22" t="s">
        <v>318</v>
      </c>
      <c r="B1465" s="3" t="s">
        <v>41</v>
      </c>
      <c r="C1465" s="4" t="s">
        <v>215</v>
      </c>
      <c r="D1465" s="11" t="s">
        <v>179</v>
      </c>
      <c r="E1465" s="25">
        <f>1*7000</f>
        <v>7000</v>
      </c>
      <c r="F1465" s="5">
        <f>IFERROR(VLOOKUP(D1465, Sheet2!$A:$C, 3, FALSE), 0)</f>
        <v>2136.363636363636</v>
      </c>
      <c r="G1465" s="6">
        <f t="shared" si="23"/>
        <v>14954545.454545451</v>
      </c>
    </row>
    <row r="1466" spans="1:7" ht="17.25" x14ac:dyDescent="0.3">
      <c r="A1466" s="22" t="s">
        <v>318</v>
      </c>
      <c r="B1466" s="3" t="s">
        <v>8</v>
      </c>
      <c r="C1466" s="4" t="s">
        <v>337</v>
      </c>
      <c r="D1466" s="3" t="s">
        <v>70</v>
      </c>
      <c r="E1466" s="25">
        <f>0.13*4500</f>
        <v>585</v>
      </c>
      <c r="F1466" s="5">
        <f>IFERROR(VLOOKUP(D1466, Sheet2!$A:$C, 3, FALSE), 0)</f>
        <v>18636.363636363636</v>
      </c>
      <c r="G1466" s="6">
        <f t="shared" si="23"/>
        <v>10902272.727272727</v>
      </c>
    </row>
    <row r="1467" spans="1:7" ht="17.25" x14ac:dyDescent="0.3">
      <c r="A1467" s="3" t="s">
        <v>318</v>
      </c>
      <c r="B1467" s="3" t="s">
        <v>51</v>
      </c>
      <c r="C1467" s="4" t="s">
        <v>343</v>
      </c>
      <c r="D1467" s="3" t="s">
        <v>45</v>
      </c>
      <c r="E1467" s="25">
        <v>750</v>
      </c>
      <c r="F1467" s="5">
        <f>IFERROR(VLOOKUP(D1467, Sheet2!$A:$C, 3, FALSE), 0)</f>
        <v>10909.090909090908</v>
      </c>
      <c r="G1467" s="6">
        <f t="shared" si="23"/>
        <v>8181818.1818181807</v>
      </c>
    </row>
    <row r="1468" spans="1:7" ht="17.25" x14ac:dyDescent="0.3">
      <c r="A1468" s="3" t="s">
        <v>319</v>
      </c>
      <c r="B1468" s="3" t="s">
        <v>24</v>
      </c>
      <c r="C1468" s="4" t="s">
        <v>344</v>
      </c>
      <c r="D1468" s="3" t="s">
        <v>22</v>
      </c>
      <c r="E1468" s="25">
        <v>95</v>
      </c>
      <c r="F1468" s="5">
        <f>IFERROR(VLOOKUP(D1468, Sheet2!$A:$C, 3, FALSE), 0)</f>
        <v>5999.9999999999991</v>
      </c>
      <c r="G1468" s="6">
        <f t="shared" si="23"/>
        <v>569999.99999999988</v>
      </c>
    </row>
    <row r="1469" spans="1:7" ht="17.25" x14ac:dyDescent="0.3">
      <c r="A1469" s="3" t="s">
        <v>319</v>
      </c>
      <c r="B1469" s="3" t="s">
        <v>24</v>
      </c>
      <c r="C1469" s="4" t="s">
        <v>342</v>
      </c>
      <c r="D1469" s="3" t="s">
        <v>61</v>
      </c>
      <c r="E1469" s="25">
        <v>70</v>
      </c>
      <c r="F1469" s="5">
        <f>IFERROR(VLOOKUP(D1469, Sheet2!$A:$C, 3, FALSE), 0)</f>
        <v>7363.6363636363631</v>
      </c>
      <c r="G1469" s="6">
        <f t="shared" si="23"/>
        <v>515454.54545454541</v>
      </c>
    </row>
    <row r="1470" spans="1:7" ht="17.25" x14ac:dyDescent="0.3">
      <c r="A1470" s="3" t="s">
        <v>319</v>
      </c>
      <c r="B1470" s="3" t="s">
        <v>24</v>
      </c>
      <c r="C1470" s="4" t="s">
        <v>342</v>
      </c>
      <c r="D1470" s="3" t="s">
        <v>61</v>
      </c>
      <c r="E1470" s="26">
        <v>93</v>
      </c>
      <c r="F1470" s="5">
        <f>IFERROR(VLOOKUP(D1470, Sheet2!$A:$C, 3, FALSE), 0)</f>
        <v>7363.6363636363631</v>
      </c>
      <c r="G1470" s="6">
        <f t="shared" si="23"/>
        <v>684818.18181818177</v>
      </c>
    </row>
    <row r="1471" spans="1:7" ht="17.25" x14ac:dyDescent="0.3">
      <c r="A1471" s="3" t="s">
        <v>319</v>
      </c>
      <c r="B1471" s="3" t="s">
        <v>23</v>
      </c>
      <c r="C1471" s="4" t="s">
        <v>338</v>
      </c>
      <c r="D1471" s="3" t="s">
        <v>36</v>
      </c>
      <c r="E1471" s="25">
        <f>0.07*4000/0.9</f>
        <v>311.11111111111109</v>
      </c>
      <c r="F1471" s="5">
        <f>IFERROR(VLOOKUP(D1471, Sheet2!$A:$C, 3, FALSE), 0)</f>
        <v>7899.9999999999991</v>
      </c>
      <c r="G1471" s="6">
        <f t="shared" si="23"/>
        <v>2457777.7777777775</v>
      </c>
    </row>
    <row r="1472" spans="1:7" ht="17.25" x14ac:dyDescent="0.3">
      <c r="A1472" s="3" t="s">
        <v>319</v>
      </c>
      <c r="B1472" s="3" t="s">
        <v>23</v>
      </c>
      <c r="C1472" s="4" t="s">
        <v>338</v>
      </c>
      <c r="D1472" s="3" t="s">
        <v>36</v>
      </c>
      <c r="E1472" s="25">
        <f>0.07*4000/0.9</f>
        <v>311.11111111111109</v>
      </c>
      <c r="F1472" s="5">
        <f>IFERROR(VLOOKUP(D1472, Sheet2!$A:$C, 3, FALSE), 0)</f>
        <v>7899.9999999999991</v>
      </c>
      <c r="G1472" s="6">
        <f t="shared" si="23"/>
        <v>2457777.7777777775</v>
      </c>
    </row>
    <row r="1473" spans="1:7" ht="17.25" x14ac:dyDescent="0.3">
      <c r="A1473" s="22" t="s">
        <v>319</v>
      </c>
      <c r="B1473" s="3" t="s">
        <v>30</v>
      </c>
      <c r="C1473" s="4" t="s">
        <v>337</v>
      </c>
      <c r="D1473" s="11" t="s">
        <v>12</v>
      </c>
      <c r="E1473" s="25">
        <v>442</v>
      </c>
      <c r="F1473" s="5">
        <f>IFERROR(VLOOKUP(D1473, Sheet2!$A:$C, 3, FALSE), 0)</f>
        <v>26363.63636363636</v>
      </c>
      <c r="G1473" s="6">
        <f t="shared" si="23"/>
        <v>11652727.272727272</v>
      </c>
    </row>
    <row r="1474" spans="1:7" ht="17.25" x14ac:dyDescent="0.3">
      <c r="A1474" s="3" t="s">
        <v>319</v>
      </c>
      <c r="B1474" s="3" t="s">
        <v>30</v>
      </c>
      <c r="C1474" s="4" t="s">
        <v>338</v>
      </c>
      <c r="D1474" s="11" t="s">
        <v>54</v>
      </c>
      <c r="E1474" s="25">
        <v>658</v>
      </c>
      <c r="F1474" s="5">
        <f>IFERROR(VLOOKUP(D1474, Sheet2!$A:$C, 3, FALSE), 0)</f>
        <v>7899.9999999999991</v>
      </c>
      <c r="G1474" s="6">
        <f t="shared" si="23"/>
        <v>5198199.9999999991</v>
      </c>
    </row>
    <row r="1475" spans="1:7" ht="17.25" x14ac:dyDescent="0.3">
      <c r="A1475" s="22" t="s">
        <v>319</v>
      </c>
      <c r="B1475" s="3" t="s">
        <v>30</v>
      </c>
      <c r="C1475" s="4" t="s">
        <v>342</v>
      </c>
      <c r="D1475" s="3" t="s">
        <v>61</v>
      </c>
      <c r="E1475" s="25">
        <v>52</v>
      </c>
      <c r="F1475" s="5">
        <f>IFERROR(VLOOKUP(D1475, Sheet2!$A:$C, 3, FALSE), 0)</f>
        <v>7363.6363636363631</v>
      </c>
      <c r="G1475" s="6">
        <f t="shared" si="23"/>
        <v>382909.09090909088</v>
      </c>
    </row>
    <row r="1476" spans="1:7" ht="17.25" x14ac:dyDescent="0.3">
      <c r="A1476" s="22" t="s">
        <v>319</v>
      </c>
      <c r="B1476" s="3" t="s">
        <v>43</v>
      </c>
      <c r="C1476" s="4" t="s">
        <v>337</v>
      </c>
      <c r="D1476" s="3" t="s">
        <v>180</v>
      </c>
      <c r="E1476" s="25">
        <f>0.18*5000/2</f>
        <v>450</v>
      </c>
      <c r="F1476" s="5">
        <f>IFERROR(VLOOKUP(D1476, Sheet2!$A:$C, 3, FALSE), 0)</f>
        <v>16909.090909090908</v>
      </c>
      <c r="G1476" s="6">
        <f t="shared" si="23"/>
        <v>7609090.9090909082</v>
      </c>
    </row>
    <row r="1477" spans="1:7" ht="17.25" x14ac:dyDescent="0.3">
      <c r="A1477" s="22" t="s">
        <v>320</v>
      </c>
      <c r="B1477" s="3" t="s">
        <v>66</v>
      </c>
      <c r="C1477" s="4" t="s">
        <v>338</v>
      </c>
      <c r="D1477" s="3" t="s">
        <v>73</v>
      </c>
      <c r="E1477" s="25">
        <f>530/0.78</f>
        <v>679.48717948717945</v>
      </c>
      <c r="F1477" s="5">
        <f>IFERROR(VLOOKUP(D1477, Sheet2!$A:$C, 3, FALSE), 0)</f>
        <v>7899.9999999999991</v>
      </c>
      <c r="G1477" s="6">
        <f t="shared" si="23"/>
        <v>5367948.7179487171</v>
      </c>
    </row>
    <row r="1478" spans="1:7" ht="17.25" x14ac:dyDescent="0.3">
      <c r="A1478" s="22" t="s">
        <v>320</v>
      </c>
      <c r="B1478" s="3" t="s">
        <v>21</v>
      </c>
      <c r="C1478" s="4" t="s">
        <v>339</v>
      </c>
      <c r="D1478" s="3" t="s">
        <v>108</v>
      </c>
      <c r="E1478" s="25">
        <v>1500</v>
      </c>
      <c r="F1478" s="5">
        <f>IFERROR(VLOOKUP(D1478, Sheet2!$A:$C, 3, FALSE), 0)</f>
        <v>12272.727272727272</v>
      </c>
      <c r="G1478" s="6">
        <f t="shared" si="23"/>
        <v>18409090.909090906</v>
      </c>
    </row>
    <row r="1479" spans="1:7" ht="17.25" x14ac:dyDescent="0.3">
      <c r="A1479" s="3" t="s">
        <v>320</v>
      </c>
      <c r="B1479" s="3" t="s">
        <v>69</v>
      </c>
      <c r="C1479" s="4" t="s">
        <v>341</v>
      </c>
      <c r="D1479" s="4" t="s">
        <v>68</v>
      </c>
      <c r="E1479" s="25">
        <f>(0.03*10000+0.03*10000)/3</f>
        <v>200</v>
      </c>
      <c r="F1479" s="5">
        <f>IFERROR(VLOOKUP(D1479, Sheet2!$A:$C, 3, FALSE), 0)</f>
        <v>13400</v>
      </c>
      <c r="G1479" s="6">
        <f t="shared" si="23"/>
        <v>2680000</v>
      </c>
    </row>
    <row r="1480" spans="1:7" ht="17.25" x14ac:dyDescent="0.3">
      <c r="A1480" s="3" t="s">
        <v>320</v>
      </c>
      <c r="B1480" s="3" t="s">
        <v>23</v>
      </c>
      <c r="C1480" s="4" t="s">
        <v>338</v>
      </c>
      <c r="D1480" s="3" t="s">
        <v>36</v>
      </c>
      <c r="E1480" s="25">
        <f>0.07*4000/0.9</f>
        <v>311.11111111111109</v>
      </c>
      <c r="F1480" s="5">
        <f>IFERROR(VLOOKUP(D1480, Sheet2!$A:$C, 3, FALSE), 0)</f>
        <v>7899.9999999999991</v>
      </c>
      <c r="G1480" s="6">
        <f t="shared" si="23"/>
        <v>2457777.7777777775</v>
      </c>
    </row>
    <row r="1481" spans="1:7" ht="17.25" x14ac:dyDescent="0.3">
      <c r="A1481" s="3" t="s">
        <v>320</v>
      </c>
      <c r="B1481" s="3" t="s">
        <v>11</v>
      </c>
      <c r="C1481" s="4" t="s">
        <v>344</v>
      </c>
      <c r="D1481" s="3" t="s">
        <v>53</v>
      </c>
      <c r="E1481" s="25">
        <f>0.05*9000/0.8</f>
        <v>562.5</v>
      </c>
      <c r="F1481" s="5">
        <f>IFERROR(VLOOKUP(D1481, Sheet2!$A:$C, 3, FALSE), 0)</f>
        <v>5818.181818181818</v>
      </c>
      <c r="G1481" s="6">
        <f t="shared" si="23"/>
        <v>3272727.2727272725</v>
      </c>
    </row>
    <row r="1482" spans="1:7" ht="17.25" x14ac:dyDescent="0.3">
      <c r="A1482" s="3" t="s">
        <v>320</v>
      </c>
      <c r="B1482" s="23" t="s">
        <v>41</v>
      </c>
      <c r="C1482" s="4" t="s">
        <v>344</v>
      </c>
      <c r="D1482" s="3" t="s">
        <v>32</v>
      </c>
      <c r="E1482" s="25">
        <f>0.06*7000/0.6</f>
        <v>700</v>
      </c>
      <c r="F1482" s="5">
        <f>IFERROR(VLOOKUP(D1482, Sheet2!$A:$C, 3, FALSE), 0)</f>
        <v>4363.6363636363631</v>
      </c>
      <c r="G1482" s="6">
        <f t="shared" si="23"/>
        <v>3054545.4545454541</v>
      </c>
    </row>
    <row r="1483" spans="1:7" ht="17.25" x14ac:dyDescent="0.3">
      <c r="A1483" s="3" t="s">
        <v>320</v>
      </c>
      <c r="B1483" s="23" t="s">
        <v>41</v>
      </c>
      <c r="C1483" s="4" t="s">
        <v>342</v>
      </c>
      <c r="D1483" s="3" t="s">
        <v>35</v>
      </c>
      <c r="E1483" s="25"/>
      <c r="F1483" s="5">
        <f>IFERROR(VLOOKUP(D1483, Sheet2!$A:$C, 3, FALSE), 0)</f>
        <v>8363.6363636363621</v>
      </c>
      <c r="G1483" s="6">
        <f t="shared" si="23"/>
        <v>0</v>
      </c>
    </row>
    <row r="1484" spans="1:7" ht="17.25" x14ac:dyDescent="0.3">
      <c r="A1484" s="22" t="s">
        <v>320</v>
      </c>
      <c r="B1484" s="23" t="s">
        <v>33</v>
      </c>
      <c r="C1484" s="4" t="s">
        <v>337</v>
      </c>
      <c r="D1484" s="3" t="s">
        <v>12</v>
      </c>
      <c r="E1484" s="25">
        <f>0.17*4000/2</f>
        <v>340</v>
      </c>
      <c r="F1484" s="5">
        <f>IFERROR(VLOOKUP(D1484, Sheet2!$A:$C, 3, FALSE), 0)</f>
        <v>26363.63636363636</v>
      </c>
      <c r="G1484" s="6">
        <f t="shared" si="23"/>
        <v>8963636.3636363633</v>
      </c>
    </row>
    <row r="1485" spans="1:7" ht="17.25" x14ac:dyDescent="0.3">
      <c r="A1485" s="3" t="s">
        <v>320</v>
      </c>
      <c r="B1485" s="23" t="s">
        <v>33</v>
      </c>
      <c r="C1485" s="4" t="s">
        <v>338</v>
      </c>
      <c r="D1485" s="3" t="s">
        <v>54</v>
      </c>
      <c r="E1485" s="25">
        <f>0.09*4000/0.78</f>
        <v>461.53846153846155</v>
      </c>
      <c r="F1485" s="5">
        <f>IFERROR(VLOOKUP(D1485, Sheet2!$A:$C, 3, FALSE), 0)</f>
        <v>7899.9999999999991</v>
      </c>
      <c r="G1485" s="6">
        <f t="shared" si="23"/>
        <v>3646153.846153846</v>
      </c>
    </row>
    <row r="1486" spans="1:7" ht="17.25" x14ac:dyDescent="0.3">
      <c r="A1486" s="22" t="s">
        <v>320</v>
      </c>
      <c r="B1486" s="23" t="s">
        <v>33</v>
      </c>
      <c r="C1486" s="4" t="s">
        <v>344</v>
      </c>
      <c r="D1486" s="3" t="s">
        <v>44</v>
      </c>
      <c r="E1486" s="25">
        <f>0.05*4000</f>
        <v>200</v>
      </c>
      <c r="F1486" s="5">
        <f>IFERROR(VLOOKUP(D1486, Sheet2!$A:$C, 3, FALSE), 0)</f>
        <v>5909.090909090909</v>
      </c>
      <c r="G1486" s="6">
        <f t="shared" si="23"/>
        <v>1181818.1818181819</v>
      </c>
    </row>
    <row r="1487" spans="1:7" ht="17.25" x14ac:dyDescent="0.3">
      <c r="A1487" s="3" t="s">
        <v>320</v>
      </c>
      <c r="B1487" s="23" t="s">
        <v>33</v>
      </c>
      <c r="C1487" s="4" t="s">
        <v>342</v>
      </c>
      <c r="D1487" s="3" t="s">
        <v>61</v>
      </c>
      <c r="E1487" s="25">
        <f>0.01*4000</f>
        <v>40</v>
      </c>
      <c r="F1487" s="5">
        <f>IFERROR(VLOOKUP(D1487, Sheet2!$A:$C, 3, FALSE), 0)</f>
        <v>7363.6363636363631</v>
      </c>
      <c r="G1487" s="6">
        <f t="shared" si="23"/>
        <v>294545.45454545453</v>
      </c>
    </row>
    <row r="1488" spans="1:7" ht="17.25" x14ac:dyDescent="0.3">
      <c r="A1488" s="3" t="s">
        <v>320</v>
      </c>
      <c r="B1488" s="23" t="s">
        <v>33</v>
      </c>
      <c r="C1488" s="4" t="s">
        <v>341</v>
      </c>
      <c r="D1488" s="4" t="s">
        <v>68</v>
      </c>
      <c r="E1488" s="25">
        <f>0.02*4000/3</f>
        <v>26.666666666666668</v>
      </c>
      <c r="F1488" s="5">
        <f>IFERROR(VLOOKUP(D1488, Sheet2!$A:$C, 3, FALSE), 0)</f>
        <v>13400</v>
      </c>
      <c r="G1488" s="6">
        <f t="shared" ref="G1488:G1553" si="24">E1488*F1488</f>
        <v>357333.33333333337</v>
      </c>
    </row>
    <row r="1489" spans="1:7" ht="17.25" x14ac:dyDescent="0.3">
      <c r="A1489" s="3" t="s">
        <v>320</v>
      </c>
      <c r="B1489" s="3" t="s">
        <v>51</v>
      </c>
      <c r="C1489" s="4" t="s">
        <v>337</v>
      </c>
      <c r="D1489" s="3" t="s">
        <v>144</v>
      </c>
      <c r="E1489" s="25">
        <v>1100</v>
      </c>
      <c r="F1489" s="5">
        <f>IFERROR(VLOOKUP(D1489, Sheet2!$A:$C, 3, FALSE), 0)</f>
        <v>10272.727272727272</v>
      </c>
      <c r="G1489" s="6">
        <f t="shared" si="24"/>
        <v>11300000</v>
      </c>
    </row>
    <row r="1490" spans="1:7" ht="17.25" x14ac:dyDescent="0.3">
      <c r="A1490" s="3" t="s">
        <v>321</v>
      </c>
      <c r="B1490" s="3" t="s">
        <v>24</v>
      </c>
      <c r="C1490" s="4" t="s">
        <v>344</v>
      </c>
      <c r="D1490" s="4" t="s">
        <v>22</v>
      </c>
      <c r="E1490" s="26">
        <v>223</v>
      </c>
      <c r="F1490" s="5">
        <f>IFERROR(VLOOKUP(D1490, Sheet2!$A:$C, 3, FALSE), 0)</f>
        <v>5999.9999999999991</v>
      </c>
      <c r="G1490" s="6">
        <f t="shared" si="24"/>
        <v>1337999.9999999998</v>
      </c>
    </row>
    <row r="1491" spans="1:7" ht="17.25" x14ac:dyDescent="0.3">
      <c r="A1491" s="22" t="s">
        <v>319</v>
      </c>
      <c r="B1491" s="3" t="s">
        <v>60</v>
      </c>
      <c r="C1491" s="4" t="s">
        <v>337</v>
      </c>
      <c r="D1491" s="4" t="s">
        <v>55</v>
      </c>
      <c r="E1491" s="26">
        <v>600</v>
      </c>
      <c r="F1491" s="5">
        <f>IFERROR(VLOOKUP(D1491, Sheet2!$A:$C, 3, FALSE), 0)</f>
        <v>14899.999999999998</v>
      </c>
      <c r="G1491" s="6">
        <f t="shared" si="24"/>
        <v>8939999.9999999981</v>
      </c>
    </row>
    <row r="1492" spans="1:7" ht="17.25" x14ac:dyDescent="0.3">
      <c r="A1492" s="3" t="s">
        <v>321</v>
      </c>
      <c r="B1492" s="3" t="s">
        <v>24</v>
      </c>
      <c r="C1492" s="4" t="s">
        <v>341</v>
      </c>
      <c r="D1492" s="4" t="s">
        <v>68</v>
      </c>
      <c r="E1492" s="25">
        <f>233/3</f>
        <v>77.666666666666671</v>
      </c>
      <c r="F1492" s="5">
        <f>IFERROR(VLOOKUP(D1492, Sheet2!$A:$C, 3, FALSE), 0)</f>
        <v>13400</v>
      </c>
      <c r="G1492" s="6">
        <f t="shared" si="24"/>
        <v>1040733.3333333334</v>
      </c>
    </row>
    <row r="1493" spans="1:7" ht="17.25" x14ac:dyDescent="0.3">
      <c r="A1493" s="3" t="s">
        <v>321</v>
      </c>
      <c r="B1493" s="3" t="s">
        <v>23</v>
      </c>
      <c r="C1493" s="4" t="s">
        <v>338</v>
      </c>
      <c r="D1493" s="3" t="s">
        <v>36</v>
      </c>
      <c r="E1493" s="25">
        <f>0.07*4000/0.9</f>
        <v>311.11111111111109</v>
      </c>
      <c r="F1493" s="5">
        <f>IFERROR(VLOOKUP(D1493, Sheet2!$A:$C, 3, FALSE), 0)</f>
        <v>7899.9999999999991</v>
      </c>
      <c r="G1493" s="6">
        <f t="shared" si="24"/>
        <v>2457777.7777777775</v>
      </c>
    </row>
    <row r="1494" spans="1:7" ht="17.25" x14ac:dyDescent="0.3">
      <c r="A1494" s="3" t="s">
        <v>321</v>
      </c>
      <c r="B1494" s="3" t="s">
        <v>23</v>
      </c>
      <c r="C1494" s="4" t="s">
        <v>338</v>
      </c>
      <c r="D1494" s="3" t="s">
        <v>36</v>
      </c>
      <c r="E1494" s="25">
        <f>0.07*4000/0.9</f>
        <v>311.11111111111109</v>
      </c>
      <c r="F1494" s="5">
        <f>IFERROR(VLOOKUP(D1494, Sheet2!$A:$C, 3, FALSE), 0)</f>
        <v>7899.9999999999991</v>
      </c>
      <c r="G1494" s="6">
        <f t="shared" si="24"/>
        <v>2457777.7777777775</v>
      </c>
    </row>
    <row r="1495" spans="1:7" ht="17.25" x14ac:dyDescent="0.3">
      <c r="A1495" s="3" t="s">
        <v>321</v>
      </c>
      <c r="B1495" s="3" t="s">
        <v>75</v>
      </c>
      <c r="C1495" s="4" t="s">
        <v>342</v>
      </c>
      <c r="D1495" s="3" t="s">
        <v>61</v>
      </c>
      <c r="E1495" s="25">
        <f>0.015*7000</f>
        <v>105</v>
      </c>
      <c r="F1495" s="5">
        <f>IFERROR(VLOOKUP(D1495, Sheet2!$A:$C, 3, FALSE), 0)</f>
        <v>7363.6363636363631</v>
      </c>
      <c r="G1495" s="6">
        <f t="shared" si="24"/>
        <v>773181.81818181812</v>
      </c>
    </row>
    <row r="1496" spans="1:7" ht="17.25" x14ac:dyDescent="0.3">
      <c r="A1496" s="22" t="s">
        <v>321</v>
      </c>
      <c r="B1496" s="3" t="s">
        <v>30</v>
      </c>
      <c r="C1496" s="4" t="s">
        <v>337</v>
      </c>
      <c r="D1496" s="3" t="s">
        <v>64</v>
      </c>
      <c r="E1496" s="25">
        <v>1404</v>
      </c>
      <c r="F1496" s="5">
        <f>IFERROR(VLOOKUP(D1496, Sheet2!$A:$C, 3, FALSE), 0)</f>
        <v>14545.454545454544</v>
      </c>
      <c r="G1496" s="6">
        <f t="shared" si="24"/>
        <v>20421818.18181818</v>
      </c>
    </row>
    <row r="1497" spans="1:7" ht="17.25" x14ac:dyDescent="0.3">
      <c r="A1497" s="22" t="s">
        <v>321</v>
      </c>
      <c r="B1497" s="3" t="s">
        <v>60</v>
      </c>
      <c r="C1497" s="4" t="s">
        <v>344</v>
      </c>
      <c r="D1497" s="3" t="s">
        <v>32</v>
      </c>
      <c r="E1497" s="25">
        <v>400</v>
      </c>
      <c r="F1497" s="5">
        <f>IFERROR(VLOOKUP(D1497, Sheet2!$A:$C, 3, FALSE), 0)</f>
        <v>4363.6363636363631</v>
      </c>
      <c r="G1497" s="6">
        <f t="shared" si="24"/>
        <v>1745454.5454545452</v>
      </c>
    </row>
    <row r="1498" spans="1:7" ht="17.25" x14ac:dyDescent="0.3">
      <c r="A1498" s="22" t="s">
        <v>321</v>
      </c>
      <c r="B1498" s="3" t="s">
        <v>60</v>
      </c>
      <c r="C1498" s="4" t="s">
        <v>342</v>
      </c>
      <c r="D1498" s="3" t="s">
        <v>35</v>
      </c>
      <c r="E1498" s="25">
        <v>130</v>
      </c>
      <c r="F1498" s="5">
        <f>IFERROR(VLOOKUP(D1498, Sheet2!$A:$C, 3, FALSE), 0)</f>
        <v>8363.6363636363621</v>
      </c>
      <c r="G1498" s="6">
        <f t="shared" si="24"/>
        <v>1087272.7272727271</v>
      </c>
    </row>
    <row r="1499" spans="1:7" ht="17.25" x14ac:dyDescent="0.3">
      <c r="A1499" s="22" t="s">
        <v>322</v>
      </c>
      <c r="B1499" s="3" t="s">
        <v>5</v>
      </c>
      <c r="C1499" s="4" t="s">
        <v>337</v>
      </c>
      <c r="D1499" s="3" t="s">
        <v>83</v>
      </c>
      <c r="E1499" s="25">
        <v>552</v>
      </c>
      <c r="F1499" s="5">
        <f>IFERROR(VLOOKUP(D1499, Sheet2!$A:$C, 3, FALSE), 0)</f>
        <v>7636.363636363636</v>
      </c>
      <c r="G1499" s="6">
        <f t="shared" si="24"/>
        <v>4215272.7272727275</v>
      </c>
    </row>
    <row r="1500" spans="1:7" ht="17.25" x14ac:dyDescent="0.3">
      <c r="A1500" s="22" t="s">
        <v>322</v>
      </c>
      <c r="B1500" s="3" t="s">
        <v>69</v>
      </c>
      <c r="C1500" s="4" t="s">
        <v>337</v>
      </c>
      <c r="D1500" s="3" t="s">
        <v>6</v>
      </c>
      <c r="E1500" s="25">
        <f>0.12*10000</f>
        <v>1200</v>
      </c>
      <c r="F1500" s="5">
        <f>IFERROR(VLOOKUP(D1500, Sheet2!$A:$C, 3, FALSE), 0)</f>
        <v>14999.999999999998</v>
      </c>
      <c r="G1500" s="6">
        <f t="shared" si="24"/>
        <v>17999999.999999996</v>
      </c>
    </row>
    <row r="1501" spans="1:7" ht="17.25" x14ac:dyDescent="0.3">
      <c r="A1501" s="3" t="s">
        <v>322</v>
      </c>
      <c r="B1501" s="3" t="s">
        <v>69</v>
      </c>
      <c r="C1501" s="4" t="s">
        <v>341</v>
      </c>
      <c r="D1501" s="4" t="s">
        <v>68</v>
      </c>
      <c r="E1501" s="25">
        <f>(0.07*10000+0.085*10000)/3</f>
        <v>516.66666666666674</v>
      </c>
      <c r="F1501" s="5">
        <f>IFERROR(VLOOKUP(D1501, Sheet2!$A:$C, 3, FALSE), 0)</f>
        <v>13400</v>
      </c>
      <c r="G1501" s="6">
        <f t="shared" si="24"/>
        <v>6923333.333333334</v>
      </c>
    </row>
    <row r="1502" spans="1:7" ht="17.25" x14ac:dyDescent="0.3">
      <c r="A1502" s="22" t="s">
        <v>322</v>
      </c>
      <c r="B1502" s="3" t="s">
        <v>25</v>
      </c>
      <c r="C1502" s="4" t="s">
        <v>344</v>
      </c>
      <c r="D1502" s="3" t="s">
        <v>53</v>
      </c>
      <c r="E1502" s="25">
        <f>0.08*9300/0.8</f>
        <v>930</v>
      </c>
      <c r="F1502" s="5">
        <f>IFERROR(VLOOKUP(D1502, Sheet2!$A:$C, 3, FALSE), 0)</f>
        <v>5818.181818181818</v>
      </c>
      <c r="G1502" s="6">
        <f t="shared" si="24"/>
        <v>5410909.0909090908</v>
      </c>
    </row>
    <row r="1503" spans="1:7" ht="17.25" x14ac:dyDescent="0.3">
      <c r="A1503" s="3" t="s">
        <v>322</v>
      </c>
      <c r="B1503" s="3" t="s">
        <v>25</v>
      </c>
      <c r="C1503" s="4" t="s">
        <v>344</v>
      </c>
      <c r="D1503" s="3" t="s">
        <v>22</v>
      </c>
      <c r="E1503" s="25">
        <f>0.05*9300</f>
        <v>465</v>
      </c>
      <c r="F1503" s="5">
        <f>IFERROR(VLOOKUP(D1503, Sheet2!$A:$C, 3, FALSE), 0)</f>
        <v>5999.9999999999991</v>
      </c>
      <c r="G1503" s="6">
        <f t="shared" si="24"/>
        <v>2789999.9999999995</v>
      </c>
    </row>
    <row r="1504" spans="1:7" ht="17.25" x14ac:dyDescent="0.3">
      <c r="A1504" s="22" t="s">
        <v>322</v>
      </c>
      <c r="B1504" s="3" t="s">
        <v>25</v>
      </c>
      <c r="C1504" s="4" t="s">
        <v>344</v>
      </c>
      <c r="D1504" s="3" t="s">
        <v>15</v>
      </c>
      <c r="E1504" s="25">
        <f>0.05*9300</f>
        <v>465</v>
      </c>
      <c r="F1504" s="5">
        <f>IFERROR(VLOOKUP(D1504, Sheet2!$A:$C, 3, FALSE), 0)</f>
        <v>3863.6363636363635</v>
      </c>
      <c r="G1504" s="6">
        <f t="shared" si="24"/>
        <v>1796590.9090909089</v>
      </c>
    </row>
    <row r="1505" spans="1:7" ht="17.25" x14ac:dyDescent="0.3">
      <c r="A1505" s="3" t="s">
        <v>322</v>
      </c>
      <c r="B1505" s="3" t="s">
        <v>23</v>
      </c>
      <c r="C1505" s="4" t="s">
        <v>338</v>
      </c>
      <c r="D1505" s="3" t="s">
        <v>36</v>
      </c>
      <c r="E1505" s="25">
        <f>0.07*4000/0.9</f>
        <v>311.11111111111109</v>
      </c>
      <c r="F1505" s="5">
        <f>IFERROR(VLOOKUP(D1505, Sheet2!$A:$C, 3, FALSE), 0)</f>
        <v>7899.9999999999991</v>
      </c>
      <c r="G1505" s="6">
        <f t="shared" si="24"/>
        <v>2457777.7777777775</v>
      </c>
    </row>
    <row r="1506" spans="1:7" ht="17.25" x14ac:dyDescent="0.3">
      <c r="A1506" s="3" t="s">
        <v>322</v>
      </c>
      <c r="B1506" s="3" t="s">
        <v>75</v>
      </c>
      <c r="C1506" s="4" t="s">
        <v>342</v>
      </c>
      <c r="D1506" s="3" t="s">
        <v>61</v>
      </c>
      <c r="E1506" s="25">
        <f>0.015*7000</f>
        <v>105</v>
      </c>
      <c r="F1506" s="5">
        <f>IFERROR(VLOOKUP(D1506, Sheet2!$A:$C, 3, FALSE), 0)</f>
        <v>7363.6363636363631</v>
      </c>
      <c r="G1506" s="6">
        <f t="shared" si="24"/>
        <v>773181.81818181812</v>
      </c>
    </row>
    <row r="1507" spans="1:7" ht="17.25" x14ac:dyDescent="0.3">
      <c r="A1507" s="3" t="s">
        <v>322</v>
      </c>
      <c r="B1507" s="3" t="s">
        <v>16</v>
      </c>
      <c r="C1507" s="4" t="s">
        <v>216</v>
      </c>
      <c r="D1507" s="3" t="s">
        <v>37</v>
      </c>
      <c r="E1507" s="25">
        <f>0.085*12000/0.85</f>
        <v>1200.0000000000002</v>
      </c>
      <c r="F1507" s="5">
        <f>IFERROR(VLOOKUP(D1507, Sheet2!$A:$C, 3, FALSE), 0)</f>
        <v>6799.9999999999991</v>
      </c>
      <c r="G1507" s="6">
        <f t="shared" si="24"/>
        <v>8160000</v>
      </c>
    </row>
    <row r="1508" spans="1:7" ht="17.25" x14ac:dyDescent="0.3">
      <c r="A1508" s="22" t="s">
        <v>322</v>
      </c>
      <c r="B1508" s="3" t="s">
        <v>11</v>
      </c>
      <c r="C1508" s="4" t="s">
        <v>344</v>
      </c>
      <c r="D1508" s="3" t="s">
        <v>139</v>
      </c>
      <c r="E1508" s="25">
        <f>0.05*9000/0.5</f>
        <v>900</v>
      </c>
      <c r="F1508" s="5">
        <f>IFERROR(VLOOKUP(D1508, Sheet2!$A:$C, 3, FALSE), 0)</f>
        <v>4363.6363636363631</v>
      </c>
      <c r="G1508" s="6">
        <f t="shared" si="24"/>
        <v>3927272.7272727266</v>
      </c>
    </row>
    <row r="1509" spans="1:7" ht="17.25" x14ac:dyDescent="0.3">
      <c r="A1509" s="3" t="s">
        <v>322</v>
      </c>
      <c r="B1509" s="23" t="s">
        <v>41</v>
      </c>
      <c r="C1509" s="4" t="s">
        <v>344</v>
      </c>
      <c r="D1509" s="4" t="s">
        <v>39</v>
      </c>
      <c r="E1509" s="26">
        <f>0.06*7000</f>
        <v>420</v>
      </c>
      <c r="F1509" s="5">
        <f>IFERROR(VLOOKUP(D1509, Sheet2!$A:$C, 3, FALSE), 0)</f>
        <v>3863.6363636363635</v>
      </c>
      <c r="G1509" s="6">
        <f t="shared" si="24"/>
        <v>1622727.2727272727</v>
      </c>
    </row>
    <row r="1510" spans="1:7" ht="17.25" x14ac:dyDescent="0.3">
      <c r="A1510" s="22" t="s">
        <v>322</v>
      </c>
      <c r="B1510" s="23" t="s">
        <v>33</v>
      </c>
      <c r="C1510" s="4" t="s">
        <v>337</v>
      </c>
      <c r="D1510" s="3" t="s">
        <v>64</v>
      </c>
      <c r="E1510" s="25">
        <f>0.27*4000</f>
        <v>1080</v>
      </c>
      <c r="F1510" s="5">
        <f>IFERROR(VLOOKUP(D1510, Sheet2!$A:$C, 3, FALSE), 0)</f>
        <v>14545.454545454544</v>
      </c>
      <c r="G1510" s="6">
        <f t="shared" si="24"/>
        <v>15709090.909090908</v>
      </c>
    </row>
    <row r="1511" spans="1:7" ht="17.25" x14ac:dyDescent="0.3">
      <c r="A1511" s="22" t="s">
        <v>322</v>
      </c>
      <c r="B1511" s="23" t="s">
        <v>33</v>
      </c>
      <c r="C1511" s="4" t="s">
        <v>341</v>
      </c>
      <c r="D1511" s="4" t="s">
        <v>110</v>
      </c>
      <c r="E1511" s="25">
        <f>0.02*4000/0.5</f>
        <v>160</v>
      </c>
      <c r="F1511" s="5">
        <f>IFERROR(VLOOKUP(D1511, Sheet2!$A:$C, 3, FALSE), 0)</f>
        <v>2500</v>
      </c>
      <c r="G1511" s="6">
        <f t="shared" si="24"/>
        <v>400000</v>
      </c>
    </row>
    <row r="1512" spans="1:7" ht="17.25" x14ac:dyDescent="0.3">
      <c r="A1512" s="3" t="s">
        <v>322</v>
      </c>
      <c r="B1512" s="23" t="s">
        <v>33</v>
      </c>
      <c r="C1512" s="4" t="s">
        <v>341</v>
      </c>
      <c r="D1512" s="4" t="s">
        <v>68</v>
      </c>
      <c r="E1512" s="25">
        <f>0.02*4000/3</f>
        <v>26.666666666666668</v>
      </c>
      <c r="F1512" s="5">
        <f>IFERROR(VLOOKUP(D1512, Sheet2!$A:$C, 3, FALSE), 0)</f>
        <v>13400</v>
      </c>
      <c r="G1512" s="6">
        <f t="shared" si="24"/>
        <v>357333.33333333337</v>
      </c>
    </row>
    <row r="1513" spans="1:7" ht="17.25" x14ac:dyDescent="0.3">
      <c r="A1513" s="22" t="s">
        <v>323</v>
      </c>
      <c r="B1513" s="23" t="s">
        <v>66</v>
      </c>
      <c r="C1513" s="4" t="s">
        <v>344</v>
      </c>
      <c r="D1513" s="3" t="s">
        <v>59</v>
      </c>
      <c r="E1513" s="25">
        <v>159</v>
      </c>
      <c r="F1513" s="5">
        <f>IFERROR(VLOOKUP(D1513, Sheet2!$A:$C, 3, FALSE), 0)</f>
        <v>4681.8181818181811</v>
      </c>
      <c r="G1513" s="6">
        <f t="shared" si="24"/>
        <v>744409.09090909082</v>
      </c>
    </row>
    <row r="1514" spans="1:7" ht="17.25" x14ac:dyDescent="0.3">
      <c r="A1514" s="3" t="s">
        <v>324</v>
      </c>
      <c r="B1514" s="3" t="s">
        <v>69</v>
      </c>
      <c r="C1514" s="4" t="s">
        <v>341</v>
      </c>
      <c r="D1514" s="4" t="s">
        <v>68</v>
      </c>
      <c r="E1514" s="25">
        <f>0.03*10000/3</f>
        <v>100</v>
      </c>
      <c r="F1514" s="5">
        <f>IFERROR(VLOOKUP(D1514, Sheet2!$A:$C, 3, FALSE), 0)</f>
        <v>13400</v>
      </c>
      <c r="G1514" s="6">
        <f t="shared" si="24"/>
        <v>1340000</v>
      </c>
    </row>
    <row r="1515" spans="1:7" ht="17.25" x14ac:dyDescent="0.3">
      <c r="A1515" s="3" t="s">
        <v>324</v>
      </c>
      <c r="B1515" s="3" t="s">
        <v>30</v>
      </c>
      <c r="C1515" s="4" t="s">
        <v>339</v>
      </c>
      <c r="D1515" s="3" t="s">
        <v>80</v>
      </c>
      <c r="E1515" s="25">
        <v>347</v>
      </c>
      <c r="F1515" s="5">
        <f>IFERROR(VLOOKUP(D1515, Sheet2!$A:$C, 3, FALSE), 0)</f>
        <v>18272.727272727272</v>
      </c>
      <c r="G1515" s="6">
        <f t="shared" si="24"/>
        <v>6340636.3636363633</v>
      </c>
    </row>
    <row r="1516" spans="1:7" ht="17.25" x14ac:dyDescent="0.3">
      <c r="A1516" s="3" t="s">
        <v>324</v>
      </c>
      <c r="B1516" s="3" t="s">
        <v>30</v>
      </c>
      <c r="C1516" s="4" t="s">
        <v>344</v>
      </c>
      <c r="D1516" s="3" t="s">
        <v>22</v>
      </c>
      <c r="E1516" s="25">
        <v>104</v>
      </c>
      <c r="F1516" s="5">
        <f>IFERROR(VLOOKUP(D1516, Sheet2!$A:$C, 3, FALSE), 0)</f>
        <v>5999.9999999999991</v>
      </c>
      <c r="G1516" s="6">
        <f t="shared" si="24"/>
        <v>623999.99999999988</v>
      </c>
    </row>
    <row r="1517" spans="1:7" ht="17.25" x14ac:dyDescent="0.3">
      <c r="A1517" s="22" t="s">
        <v>324</v>
      </c>
      <c r="B1517" s="3" t="s">
        <v>30</v>
      </c>
      <c r="C1517" s="4" t="s">
        <v>342</v>
      </c>
      <c r="D1517" s="3" t="s">
        <v>61</v>
      </c>
      <c r="E1517" s="25">
        <v>104</v>
      </c>
      <c r="F1517" s="5">
        <f>IFERROR(VLOOKUP(D1517, Sheet2!$A:$C, 3, FALSE), 0)</f>
        <v>7363.6363636363631</v>
      </c>
      <c r="G1517" s="6">
        <f t="shared" si="24"/>
        <v>765818.18181818177</v>
      </c>
    </row>
    <row r="1518" spans="1:7" ht="17.25" x14ac:dyDescent="0.3">
      <c r="A1518" s="3" t="s">
        <v>324</v>
      </c>
      <c r="B1518" s="3" t="s">
        <v>33</v>
      </c>
      <c r="C1518" s="4" t="s">
        <v>337</v>
      </c>
      <c r="D1518" s="3" t="s">
        <v>70</v>
      </c>
      <c r="E1518" s="25">
        <f>0.16*4000</f>
        <v>640</v>
      </c>
      <c r="F1518" s="5">
        <f>IFERROR(VLOOKUP(D1518, Sheet2!$A:$C, 3, FALSE), 0)</f>
        <v>18636.363636363636</v>
      </c>
      <c r="G1518" s="6">
        <f t="shared" si="24"/>
        <v>11927272.727272727</v>
      </c>
    </row>
    <row r="1519" spans="1:7" ht="17.25" x14ac:dyDescent="0.3">
      <c r="A1519" s="22" t="s">
        <v>324</v>
      </c>
      <c r="B1519" s="23" t="s">
        <v>33</v>
      </c>
      <c r="C1519" s="4" t="s">
        <v>344</v>
      </c>
      <c r="D1519" s="3" t="s">
        <v>20</v>
      </c>
      <c r="E1519" s="25">
        <f>0.02*4000</f>
        <v>80</v>
      </c>
      <c r="F1519" s="5">
        <f>IFERROR(VLOOKUP(D1519, Sheet2!$A:$C, 3, FALSE), 0)</f>
        <v>6999.9999999999991</v>
      </c>
      <c r="G1519" s="6">
        <f t="shared" si="24"/>
        <v>559999.99999999988</v>
      </c>
    </row>
    <row r="1520" spans="1:7" ht="17.25" x14ac:dyDescent="0.3">
      <c r="A1520" s="3" t="s">
        <v>324</v>
      </c>
      <c r="B1520" s="23" t="s">
        <v>33</v>
      </c>
      <c r="C1520" s="4" t="s">
        <v>344</v>
      </c>
      <c r="D1520" s="3" t="s">
        <v>22</v>
      </c>
      <c r="E1520" s="25">
        <f>0.02*4000</f>
        <v>80</v>
      </c>
      <c r="F1520" s="5">
        <f>IFERROR(VLOOKUP(D1520, Sheet2!$A:$C, 3, FALSE), 0)</f>
        <v>5999.9999999999991</v>
      </c>
      <c r="G1520" s="6">
        <f t="shared" si="24"/>
        <v>479999.99999999994</v>
      </c>
    </row>
    <row r="1521" spans="1:7" ht="17.25" x14ac:dyDescent="0.3">
      <c r="A1521" s="22" t="s">
        <v>324</v>
      </c>
      <c r="B1521" s="23" t="s">
        <v>33</v>
      </c>
      <c r="C1521" s="4" t="s">
        <v>341</v>
      </c>
      <c r="D1521" s="4" t="s">
        <v>110</v>
      </c>
      <c r="E1521" s="25">
        <f>0.015*4000/0.5</f>
        <v>120</v>
      </c>
      <c r="F1521" s="5">
        <f>IFERROR(VLOOKUP(D1521, Sheet2!$A:$C, 3, FALSE), 0)</f>
        <v>2500</v>
      </c>
      <c r="G1521" s="6">
        <f t="shared" si="24"/>
        <v>300000</v>
      </c>
    </row>
    <row r="1522" spans="1:7" ht="17.25" x14ac:dyDescent="0.3">
      <c r="A1522" s="22" t="s">
        <v>324</v>
      </c>
      <c r="B1522" s="23" t="s">
        <v>33</v>
      </c>
      <c r="C1522" s="4" t="s">
        <v>341</v>
      </c>
      <c r="D1522" s="4" t="s">
        <v>68</v>
      </c>
      <c r="E1522" s="25">
        <f>0.1*4000/3</f>
        <v>133.33333333333334</v>
      </c>
      <c r="F1522" s="5">
        <f>IFERROR(VLOOKUP(D1522, Sheet2!$A:$C, 3, FALSE), 0)</f>
        <v>13400</v>
      </c>
      <c r="G1522" s="6">
        <f t="shared" si="24"/>
        <v>1786666.6666666667</v>
      </c>
    </row>
    <row r="1523" spans="1:7" ht="17.25" x14ac:dyDescent="0.3">
      <c r="A1523" s="22" t="s">
        <v>324</v>
      </c>
      <c r="B1523" s="3" t="s">
        <v>18</v>
      </c>
      <c r="C1523" s="4" t="s">
        <v>337</v>
      </c>
      <c r="D1523" s="11" t="s">
        <v>83</v>
      </c>
      <c r="E1523" s="27">
        <v>506</v>
      </c>
      <c r="F1523" s="5">
        <f>IFERROR(VLOOKUP(D1523, Sheet2!$A:$C, 3, FALSE), 0)</f>
        <v>7636.363636363636</v>
      </c>
      <c r="G1523" s="6">
        <f t="shared" si="24"/>
        <v>3864000</v>
      </c>
    </row>
    <row r="1524" spans="1:7" ht="17.25" x14ac:dyDescent="0.3">
      <c r="A1524" s="22" t="s">
        <v>325</v>
      </c>
      <c r="B1524" s="3" t="s">
        <v>24</v>
      </c>
      <c r="C1524" s="4" t="s">
        <v>342</v>
      </c>
      <c r="D1524" s="3" t="s">
        <v>61</v>
      </c>
      <c r="E1524" s="27">
        <v>77</v>
      </c>
      <c r="F1524" s="5">
        <f>IFERROR(VLOOKUP(D1524, Sheet2!$A:$C, 3, FALSE), 0)</f>
        <v>7363.6363636363631</v>
      </c>
      <c r="G1524" s="6">
        <f t="shared" si="24"/>
        <v>567000</v>
      </c>
    </row>
    <row r="1525" spans="1:7" ht="17.25" x14ac:dyDescent="0.3">
      <c r="A1525" s="22" t="s">
        <v>325</v>
      </c>
      <c r="B1525" s="3" t="s">
        <v>24</v>
      </c>
      <c r="C1525" s="4" t="s">
        <v>341</v>
      </c>
      <c r="D1525" s="4" t="s">
        <v>68</v>
      </c>
      <c r="E1525" s="25">
        <f>516/3</f>
        <v>172</v>
      </c>
      <c r="F1525" s="5">
        <f>IFERROR(VLOOKUP(D1525, Sheet2!$A:$C, 3, FALSE), 0)</f>
        <v>13400</v>
      </c>
      <c r="G1525" s="6">
        <f t="shared" si="24"/>
        <v>2304800</v>
      </c>
    </row>
    <row r="1526" spans="1:7" ht="17.25" x14ac:dyDescent="0.3">
      <c r="A1526" s="22" t="s">
        <v>325</v>
      </c>
      <c r="B1526" s="3" t="s">
        <v>23</v>
      </c>
      <c r="C1526" s="4" t="s">
        <v>215</v>
      </c>
      <c r="D1526" s="3" t="s">
        <v>264</v>
      </c>
      <c r="E1526" s="25">
        <f>0.08*4000</f>
        <v>320</v>
      </c>
      <c r="F1526" s="5">
        <f>IFERROR(VLOOKUP(D1526, Sheet2!$A:$C, 3, FALSE), 0)</f>
        <v>4454.545454545454</v>
      </c>
      <c r="G1526" s="6">
        <f t="shared" si="24"/>
        <v>1425454.5454545454</v>
      </c>
    </row>
    <row r="1527" spans="1:7" ht="17.25" x14ac:dyDescent="0.3">
      <c r="A1527" s="3" t="s">
        <v>325</v>
      </c>
      <c r="B1527" s="3" t="s">
        <v>23</v>
      </c>
      <c r="C1527" s="4" t="s">
        <v>342</v>
      </c>
      <c r="D1527" s="3" t="s">
        <v>61</v>
      </c>
      <c r="E1527" s="25">
        <f>0.02*4000</f>
        <v>80</v>
      </c>
      <c r="F1527" s="5">
        <f>IFERROR(VLOOKUP(D1527, Sheet2!$A:$C, 3, FALSE), 0)</f>
        <v>7363.6363636363631</v>
      </c>
      <c r="G1527" s="6">
        <f t="shared" si="24"/>
        <v>589090.90909090906</v>
      </c>
    </row>
    <row r="1528" spans="1:7" ht="17.25" x14ac:dyDescent="0.3">
      <c r="A1528" s="22" t="s">
        <v>325</v>
      </c>
      <c r="B1528" s="3" t="s">
        <v>23</v>
      </c>
      <c r="C1528" s="4" t="s">
        <v>215</v>
      </c>
      <c r="D1528" s="3" t="s">
        <v>264</v>
      </c>
      <c r="E1528" s="25">
        <f>0.08*4000</f>
        <v>320</v>
      </c>
      <c r="F1528" s="5">
        <f>IFERROR(VLOOKUP(D1528, Sheet2!$A:$C, 3, FALSE), 0)</f>
        <v>4454.545454545454</v>
      </c>
      <c r="G1528" s="6">
        <f t="shared" si="24"/>
        <v>1425454.5454545454</v>
      </c>
    </row>
    <row r="1529" spans="1:7" ht="17.25" x14ac:dyDescent="0.3">
      <c r="A1529" s="3" t="s">
        <v>325</v>
      </c>
      <c r="B1529" s="3" t="s">
        <v>23</v>
      </c>
      <c r="C1529" s="4" t="s">
        <v>342</v>
      </c>
      <c r="D1529" s="3" t="s">
        <v>61</v>
      </c>
      <c r="E1529" s="25">
        <f>0.02*4000</f>
        <v>80</v>
      </c>
      <c r="F1529" s="5">
        <f>IFERROR(VLOOKUP(D1529, Sheet2!$A:$C, 3, FALSE), 0)</f>
        <v>7363.6363636363631</v>
      </c>
      <c r="G1529" s="6">
        <f t="shared" si="24"/>
        <v>589090.90909090906</v>
      </c>
    </row>
    <row r="1530" spans="1:7" ht="17.25" x14ac:dyDescent="0.3">
      <c r="A1530" s="3" t="s">
        <v>325</v>
      </c>
      <c r="B1530" s="3" t="s">
        <v>30</v>
      </c>
      <c r="C1530" s="4" t="s">
        <v>337</v>
      </c>
      <c r="D1530" s="3" t="s">
        <v>70</v>
      </c>
      <c r="E1530" s="25">
        <v>572</v>
      </c>
      <c r="F1530" s="5">
        <f>IFERROR(VLOOKUP(D1530, Sheet2!$A:$C, 3, FALSE), 0)</f>
        <v>18636.363636363636</v>
      </c>
      <c r="G1530" s="6">
        <f t="shared" si="24"/>
        <v>10660000</v>
      </c>
    </row>
    <row r="1531" spans="1:7" ht="17.25" x14ac:dyDescent="0.3">
      <c r="A1531" s="3" t="s">
        <v>325</v>
      </c>
      <c r="B1531" s="3" t="s">
        <v>60</v>
      </c>
      <c r="C1531" s="4" t="s">
        <v>342</v>
      </c>
      <c r="D1531" s="3" t="s">
        <v>61</v>
      </c>
      <c r="E1531" s="25">
        <v>100</v>
      </c>
      <c r="F1531" s="5">
        <f>IFERROR(VLOOKUP(D1531, Sheet2!$A:$C, 3, FALSE), 0)</f>
        <v>7363.6363636363631</v>
      </c>
      <c r="G1531" s="6">
        <f t="shared" si="24"/>
        <v>736363.63636363635</v>
      </c>
    </row>
    <row r="1532" spans="1:7" ht="17.25" x14ac:dyDescent="0.3">
      <c r="A1532" s="3" t="s">
        <v>325</v>
      </c>
      <c r="B1532" s="3" t="s">
        <v>60</v>
      </c>
      <c r="C1532" s="4" t="s">
        <v>343</v>
      </c>
      <c r="D1532" s="3" t="s">
        <v>168</v>
      </c>
      <c r="E1532" s="25">
        <v>150</v>
      </c>
      <c r="F1532" s="5">
        <f>IFERROR(VLOOKUP(D1532, Sheet2!$A:$C, 3, FALSE), 0)</f>
        <v>27999.999999999996</v>
      </c>
      <c r="G1532" s="6">
        <f t="shared" si="24"/>
        <v>4199999.9999999991</v>
      </c>
    </row>
    <row r="1533" spans="1:7" ht="17.25" x14ac:dyDescent="0.3">
      <c r="A1533" s="3" t="s">
        <v>326</v>
      </c>
      <c r="B1533" s="3" t="s">
        <v>69</v>
      </c>
      <c r="C1533" s="4" t="s">
        <v>341</v>
      </c>
      <c r="D1533" s="4" t="s">
        <v>68</v>
      </c>
      <c r="E1533" s="25">
        <f>(0.04*10000+0.1*10000)/3</f>
        <v>466.66666666666669</v>
      </c>
      <c r="F1533" s="5">
        <f>IFERROR(VLOOKUP(D1533, Sheet2!$A:$C, 3, FALSE), 0)</f>
        <v>13400</v>
      </c>
      <c r="G1533" s="6">
        <f t="shared" si="24"/>
        <v>6253333.333333334</v>
      </c>
    </row>
    <row r="1534" spans="1:7" ht="17.25" x14ac:dyDescent="0.3">
      <c r="A1534" s="22" t="s">
        <v>326</v>
      </c>
      <c r="B1534" s="3" t="s">
        <v>150</v>
      </c>
      <c r="C1534" s="4" t="s">
        <v>344</v>
      </c>
      <c r="D1534" s="3" t="s">
        <v>39</v>
      </c>
      <c r="E1534" s="25">
        <v>90</v>
      </c>
      <c r="F1534" s="5">
        <f>IFERROR(VLOOKUP(D1534, Sheet2!$A:$C, 3, FALSE), 0)</f>
        <v>3863.6363636363635</v>
      </c>
      <c r="G1534" s="6">
        <f t="shared" si="24"/>
        <v>347727.27272727271</v>
      </c>
    </row>
    <row r="1535" spans="1:7" ht="17.25" x14ac:dyDescent="0.3">
      <c r="A1535" s="22" t="s">
        <v>326</v>
      </c>
      <c r="B1535" s="3" t="s">
        <v>23</v>
      </c>
      <c r="C1535" s="4" t="s">
        <v>215</v>
      </c>
      <c r="D1535" s="3" t="s">
        <v>264</v>
      </c>
      <c r="E1535" s="25">
        <f>0.08*4000</f>
        <v>320</v>
      </c>
      <c r="F1535" s="5">
        <f>IFERROR(VLOOKUP(D1535, Sheet2!$A:$C, 3, FALSE), 0)</f>
        <v>4454.545454545454</v>
      </c>
      <c r="G1535" s="6">
        <f t="shared" si="24"/>
        <v>1425454.5454545454</v>
      </c>
    </row>
    <row r="1536" spans="1:7" ht="17.25" x14ac:dyDescent="0.3">
      <c r="A1536" s="3" t="s">
        <v>326</v>
      </c>
      <c r="B1536" s="3" t="s">
        <v>23</v>
      </c>
      <c r="C1536" s="4" t="s">
        <v>342</v>
      </c>
      <c r="D1536" s="3" t="s">
        <v>61</v>
      </c>
      <c r="E1536" s="25">
        <f>0.02*4000</f>
        <v>80</v>
      </c>
      <c r="F1536" s="5">
        <f>IFERROR(VLOOKUP(D1536, Sheet2!$A:$C, 3, FALSE), 0)</f>
        <v>7363.6363636363631</v>
      </c>
      <c r="G1536" s="6">
        <f t="shared" si="24"/>
        <v>589090.90909090906</v>
      </c>
    </row>
    <row r="1537" spans="1:7" ht="17.25" x14ac:dyDescent="0.3">
      <c r="A1537" s="22" t="s">
        <v>326</v>
      </c>
      <c r="B1537" s="3" t="s">
        <v>14</v>
      </c>
      <c r="C1537" s="4" t="s">
        <v>344</v>
      </c>
      <c r="D1537" s="3" t="s">
        <v>15</v>
      </c>
      <c r="E1537" s="25">
        <f>0.06*5800</f>
        <v>348</v>
      </c>
      <c r="F1537" s="5">
        <f>IFERROR(VLOOKUP(D1537, Sheet2!$A:$C, 3, FALSE), 0)</f>
        <v>3863.6363636363635</v>
      </c>
      <c r="G1537" s="6">
        <f t="shared" si="24"/>
        <v>1344545.4545454546</v>
      </c>
    </row>
    <row r="1538" spans="1:7" ht="17.25" x14ac:dyDescent="0.3">
      <c r="A1538" s="22" t="s">
        <v>326</v>
      </c>
      <c r="B1538" s="23" t="s">
        <v>33</v>
      </c>
      <c r="C1538" s="4" t="s">
        <v>342</v>
      </c>
      <c r="D1538" s="3" t="s">
        <v>61</v>
      </c>
      <c r="E1538" s="25">
        <f>0.02*4000</f>
        <v>80</v>
      </c>
      <c r="F1538" s="5">
        <f>IFERROR(VLOOKUP(D1538, Sheet2!$A:$C, 3, FALSE), 0)</f>
        <v>7363.6363636363631</v>
      </c>
      <c r="G1538" s="6">
        <f t="shared" si="24"/>
        <v>589090.90909090906</v>
      </c>
    </row>
    <row r="1539" spans="1:7" ht="17.25" x14ac:dyDescent="0.3">
      <c r="A1539" s="3" t="s">
        <v>326</v>
      </c>
      <c r="B1539" s="23" t="s">
        <v>33</v>
      </c>
      <c r="C1539" s="4" t="s">
        <v>341</v>
      </c>
      <c r="D1539" s="4" t="s">
        <v>110</v>
      </c>
      <c r="E1539" s="25">
        <f>0.015*4000/0.5</f>
        <v>120</v>
      </c>
      <c r="F1539" s="5">
        <f>IFERROR(VLOOKUP(D1539, Sheet2!$A:$C, 3, FALSE), 0)</f>
        <v>2500</v>
      </c>
      <c r="G1539" s="6">
        <f t="shared" si="24"/>
        <v>300000</v>
      </c>
    </row>
    <row r="1540" spans="1:7" ht="17.25" x14ac:dyDescent="0.3">
      <c r="A1540" s="3" t="s">
        <v>326</v>
      </c>
      <c r="B1540" s="23" t="s">
        <v>345</v>
      </c>
      <c r="C1540" s="4" t="s">
        <v>346</v>
      </c>
      <c r="D1540" s="4" t="s">
        <v>347</v>
      </c>
      <c r="E1540" s="25">
        <v>500</v>
      </c>
      <c r="F1540" s="5">
        <f>IFERROR(VLOOKUP(D1540, Sheet2!$A:$C, 3, FALSE), 0)</f>
        <v>3863.6363636363635</v>
      </c>
      <c r="G1540" s="6">
        <f t="shared" ref="G1540:G1541" si="25">E1540*F1540</f>
        <v>1931818.1818181816</v>
      </c>
    </row>
    <row r="1541" spans="1:7" ht="17.25" x14ac:dyDescent="0.3">
      <c r="A1541" s="3" t="s">
        <v>326</v>
      </c>
      <c r="B1541" s="23" t="s">
        <v>345</v>
      </c>
      <c r="C1541" s="4" t="s">
        <v>346</v>
      </c>
      <c r="D1541" s="4" t="s">
        <v>348</v>
      </c>
      <c r="E1541" s="25">
        <v>500</v>
      </c>
      <c r="F1541" s="5">
        <f>IFERROR(VLOOKUP(D1541, Sheet2!$A:$C, 3, FALSE), 0)</f>
        <v>3863.6363636363635</v>
      </c>
      <c r="G1541" s="6">
        <f t="shared" si="25"/>
        <v>1931818.1818181816</v>
      </c>
    </row>
    <row r="1542" spans="1:7" ht="17.25" x14ac:dyDescent="0.3">
      <c r="A1542" s="3" t="s">
        <v>327</v>
      </c>
      <c r="B1542" s="3" t="s">
        <v>21</v>
      </c>
      <c r="C1542" s="4" t="s">
        <v>344</v>
      </c>
      <c r="D1542" s="11" t="s">
        <v>44</v>
      </c>
      <c r="E1542" s="25">
        <v>255</v>
      </c>
      <c r="F1542" s="5">
        <f>IFERROR(VLOOKUP(D1542, Sheet2!$A:$C, 3, FALSE), 0)</f>
        <v>5909.090909090909</v>
      </c>
      <c r="G1542" s="6">
        <f t="shared" si="24"/>
        <v>1506818.1818181819</v>
      </c>
    </row>
    <row r="1543" spans="1:7" ht="17.25" x14ac:dyDescent="0.3">
      <c r="A1543" s="22" t="s">
        <v>327</v>
      </c>
      <c r="B1543" s="3" t="s">
        <v>150</v>
      </c>
      <c r="C1543" s="4" t="s">
        <v>344</v>
      </c>
      <c r="D1543" s="3" t="s">
        <v>39</v>
      </c>
      <c r="E1543" s="25">
        <v>225</v>
      </c>
      <c r="F1543" s="5">
        <f>IFERROR(VLOOKUP(D1543, Sheet2!$A:$C, 3, FALSE), 0)</f>
        <v>3863.6363636363635</v>
      </c>
      <c r="G1543" s="6">
        <f t="shared" si="24"/>
        <v>869318.18181818177</v>
      </c>
    </row>
    <row r="1544" spans="1:7" ht="17.25" x14ac:dyDescent="0.3">
      <c r="A1544" s="22" t="s">
        <v>327</v>
      </c>
      <c r="B1544" s="3" t="s">
        <v>24</v>
      </c>
      <c r="C1544" s="4" t="s">
        <v>344</v>
      </c>
      <c r="D1544" s="3" t="s">
        <v>22</v>
      </c>
      <c r="E1544" s="25">
        <v>75</v>
      </c>
      <c r="F1544" s="5">
        <f>IFERROR(VLOOKUP(D1544, Sheet2!$A:$C, 3, FALSE), 0)</f>
        <v>5999.9999999999991</v>
      </c>
      <c r="G1544" s="6">
        <f t="shared" si="24"/>
        <v>449999.99999999994</v>
      </c>
    </row>
    <row r="1545" spans="1:7" ht="17.25" x14ac:dyDescent="0.3">
      <c r="A1545" s="22" t="s">
        <v>327</v>
      </c>
      <c r="B1545" s="3" t="s">
        <v>24</v>
      </c>
      <c r="C1545" s="4" t="s">
        <v>342</v>
      </c>
      <c r="D1545" s="3" t="s">
        <v>61</v>
      </c>
      <c r="E1545" s="25">
        <v>75</v>
      </c>
      <c r="F1545" s="5">
        <f>IFERROR(VLOOKUP(D1545, Sheet2!$A:$C, 3, FALSE), 0)</f>
        <v>7363.6363636363631</v>
      </c>
      <c r="G1545" s="6">
        <f t="shared" si="24"/>
        <v>552272.72727272718</v>
      </c>
    </row>
    <row r="1546" spans="1:7" ht="17.25" x14ac:dyDescent="0.3">
      <c r="A1546" s="22" t="s">
        <v>327</v>
      </c>
      <c r="B1546" s="3" t="s">
        <v>24</v>
      </c>
      <c r="C1546" s="4" t="s">
        <v>341</v>
      </c>
      <c r="D1546" s="4" t="s">
        <v>68</v>
      </c>
      <c r="E1546" s="25">
        <f>516/3</f>
        <v>172</v>
      </c>
      <c r="F1546" s="5">
        <f>IFERROR(VLOOKUP(D1546, Sheet2!$A:$C, 3, FALSE), 0)</f>
        <v>13400</v>
      </c>
      <c r="G1546" s="6">
        <f t="shared" si="24"/>
        <v>2304800</v>
      </c>
    </row>
    <row r="1547" spans="1:7" ht="17.25" x14ac:dyDescent="0.3">
      <c r="A1547" s="22" t="s">
        <v>327</v>
      </c>
      <c r="B1547" s="3" t="s">
        <v>75</v>
      </c>
      <c r="C1547" s="4" t="s">
        <v>342</v>
      </c>
      <c r="D1547" s="3" t="s">
        <v>61</v>
      </c>
      <c r="E1547" s="25">
        <f>0.015*7000</f>
        <v>105</v>
      </c>
      <c r="F1547" s="5">
        <f>IFERROR(VLOOKUP(D1547, Sheet2!$A:$C, 3, FALSE), 0)</f>
        <v>7363.6363636363631</v>
      </c>
      <c r="G1547" s="6">
        <f t="shared" si="24"/>
        <v>773181.81818181812</v>
      </c>
    </row>
    <row r="1548" spans="1:7" ht="17.25" x14ac:dyDescent="0.3">
      <c r="A1548" s="22" t="s">
        <v>327</v>
      </c>
      <c r="B1548" s="3" t="s">
        <v>48</v>
      </c>
      <c r="C1548" s="4" t="s">
        <v>344</v>
      </c>
      <c r="D1548" s="3" t="s">
        <v>52</v>
      </c>
      <c r="E1548" s="25">
        <f>840/2</f>
        <v>420</v>
      </c>
      <c r="F1548" s="5">
        <f>IFERROR(VLOOKUP(D1548, Sheet2!$A:$C, 3, FALSE), 0)</f>
        <v>5999.9999999999991</v>
      </c>
      <c r="G1548" s="6">
        <f t="shared" si="24"/>
        <v>2519999.9999999995</v>
      </c>
    </row>
    <row r="1549" spans="1:7" ht="17.25" x14ac:dyDescent="0.3">
      <c r="A1549" s="22" t="s">
        <v>327</v>
      </c>
      <c r="B1549" s="3" t="s">
        <v>29</v>
      </c>
      <c r="C1549" s="4" t="s">
        <v>344</v>
      </c>
      <c r="D1549" s="3" t="s">
        <v>40</v>
      </c>
      <c r="E1549" s="25">
        <f>0.05*5500/0.5</f>
        <v>550</v>
      </c>
      <c r="F1549" s="5">
        <f>IFERROR(VLOOKUP(D1549, Sheet2!$A:$C, 3, FALSE), 0)</f>
        <v>4363.6363636363631</v>
      </c>
      <c r="G1549" s="6">
        <f t="shared" si="24"/>
        <v>2399999.9999999995</v>
      </c>
    </row>
    <row r="1550" spans="1:7" ht="17.25" x14ac:dyDescent="0.3">
      <c r="A1550" s="3" t="s">
        <v>327</v>
      </c>
      <c r="B1550" s="23" t="s">
        <v>27</v>
      </c>
      <c r="C1550" s="4" t="s">
        <v>344</v>
      </c>
      <c r="D1550" s="3" t="s">
        <v>40</v>
      </c>
      <c r="E1550" s="25">
        <f>350/0.5</f>
        <v>700</v>
      </c>
      <c r="F1550" s="5">
        <f>IFERROR(VLOOKUP(D1550, Sheet2!$A:$C, 3, FALSE), 0)</f>
        <v>4363.6363636363631</v>
      </c>
      <c r="G1550" s="6">
        <f t="shared" si="24"/>
        <v>3054545.4545454541</v>
      </c>
    </row>
    <row r="1551" spans="1:7" ht="17.25" x14ac:dyDescent="0.3">
      <c r="A1551" s="22" t="s">
        <v>327</v>
      </c>
      <c r="B1551" s="3" t="s">
        <v>30</v>
      </c>
      <c r="C1551" s="4" t="s">
        <v>344</v>
      </c>
      <c r="D1551" s="3" t="s">
        <v>44</v>
      </c>
      <c r="E1551" s="25">
        <v>171</v>
      </c>
      <c r="F1551" s="5">
        <f>IFERROR(VLOOKUP(D1551, Sheet2!$A:$C, 3, FALSE), 0)</f>
        <v>5909.090909090909</v>
      </c>
      <c r="G1551" s="6">
        <f t="shared" si="24"/>
        <v>1010454.5454545454</v>
      </c>
    </row>
    <row r="1552" spans="1:7" ht="17.25" x14ac:dyDescent="0.3">
      <c r="A1552" s="3" t="s">
        <v>327</v>
      </c>
      <c r="B1552" s="3" t="s">
        <v>30</v>
      </c>
      <c r="C1552" s="4" t="s">
        <v>344</v>
      </c>
      <c r="D1552" s="3" t="s">
        <v>56</v>
      </c>
      <c r="E1552" s="25">
        <v>156</v>
      </c>
      <c r="F1552" s="5">
        <f>IFERROR(VLOOKUP(D1552, Sheet2!$A:$C, 3, FALSE), 0)</f>
        <v>5545.454545454545</v>
      </c>
      <c r="G1552" s="6">
        <f t="shared" si="24"/>
        <v>865090.90909090906</v>
      </c>
    </row>
    <row r="1553" spans="1:7" ht="17.25" x14ac:dyDescent="0.3">
      <c r="A1553" s="3" t="s">
        <v>327</v>
      </c>
      <c r="B1553" s="3" t="s">
        <v>8</v>
      </c>
      <c r="C1553" s="4" t="s">
        <v>338</v>
      </c>
      <c r="D1553" s="3" t="s">
        <v>36</v>
      </c>
      <c r="E1553" s="25">
        <f>0.05*4500/0.9</f>
        <v>250</v>
      </c>
      <c r="F1553" s="5">
        <f>IFERROR(VLOOKUP(D1553, Sheet2!$A:$C, 3, FALSE), 0)</f>
        <v>7899.9999999999991</v>
      </c>
      <c r="G1553" s="6">
        <f t="shared" si="24"/>
        <v>1974999.9999999998</v>
      </c>
    </row>
    <row r="1554" spans="1:7" ht="17.25" x14ac:dyDescent="0.3">
      <c r="A1554" s="22" t="s">
        <v>327</v>
      </c>
      <c r="B1554" s="23" t="s">
        <v>33</v>
      </c>
      <c r="C1554" s="4" t="s">
        <v>344</v>
      </c>
      <c r="D1554" s="3" t="s">
        <v>44</v>
      </c>
      <c r="E1554" s="25">
        <f>0.03*4000</f>
        <v>120</v>
      </c>
      <c r="F1554" s="5">
        <f>IFERROR(VLOOKUP(D1554, Sheet2!$A:$C, 3, FALSE), 0)</f>
        <v>5909.090909090909</v>
      </c>
      <c r="G1554" s="6">
        <f t="shared" ref="G1554:G1617" si="26">E1554*F1554</f>
        <v>709090.90909090906</v>
      </c>
    </row>
    <row r="1555" spans="1:7" ht="17.25" x14ac:dyDescent="0.3">
      <c r="A1555" s="3" t="s">
        <v>327</v>
      </c>
      <c r="B1555" s="23" t="s">
        <v>33</v>
      </c>
      <c r="C1555" s="4" t="s">
        <v>341</v>
      </c>
      <c r="D1555" s="4" t="s">
        <v>110</v>
      </c>
      <c r="E1555" s="25">
        <f>0.01*4000/0.5</f>
        <v>80</v>
      </c>
      <c r="F1555" s="5">
        <f>IFERROR(VLOOKUP(D1555, Sheet2!$A:$C, 3, FALSE), 0)</f>
        <v>2500</v>
      </c>
      <c r="G1555" s="6">
        <f t="shared" si="26"/>
        <v>200000</v>
      </c>
    </row>
    <row r="1556" spans="1:7" ht="17.25" x14ac:dyDescent="0.3">
      <c r="A1556" s="3" t="s">
        <v>327</v>
      </c>
      <c r="B1556" s="23" t="s">
        <v>33</v>
      </c>
      <c r="C1556" s="4" t="s">
        <v>341</v>
      </c>
      <c r="D1556" s="4" t="s">
        <v>68</v>
      </c>
      <c r="E1556" s="25">
        <f>0.06*4000/3</f>
        <v>80</v>
      </c>
      <c r="F1556" s="5">
        <f>IFERROR(VLOOKUP(D1556, Sheet2!$A:$C, 3, FALSE), 0)</f>
        <v>13400</v>
      </c>
      <c r="G1556" s="6">
        <f t="shared" si="26"/>
        <v>1072000</v>
      </c>
    </row>
    <row r="1557" spans="1:7" ht="17.25" x14ac:dyDescent="0.3">
      <c r="A1557" s="22" t="s">
        <v>327</v>
      </c>
      <c r="B1557" s="3" t="s">
        <v>33</v>
      </c>
      <c r="C1557" s="4" t="s">
        <v>344</v>
      </c>
      <c r="D1557" s="3" t="s">
        <v>56</v>
      </c>
      <c r="E1557" s="25">
        <f>0.03*4000</f>
        <v>120</v>
      </c>
      <c r="F1557" s="5">
        <f>IFERROR(VLOOKUP(D1557, Sheet2!$A:$C, 3, FALSE), 0)</f>
        <v>5545.454545454545</v>
      </c>
      <c r="G1557" s="6">
        <f t="shared" si="26"/>
        <v>665454.54545454541</v>
      </c>
    </row>
    <row r="1558" spans="1:7" ht="17.25" x14ac:dyDescent="0.3">
      <c r="A1558" s="22" t="s">
        <v>327</v>
      </c>
      <c r="B1558" s="3" t="s">
        <v>60</v>
      </c>
      <c r="C1558" s="4" t="s">
        <v>344</v>
      </c>
      <c r="D1558" s="3" t="s">
        <v>32</v>
      </c>
      <c r="E1558" s="25">
        <v>400</v>
      </c>
      <c r="F1558" s="5">
        <f>IFERROR(VLOOKUP(D1558, Sheet2!$A:$C, 3, FALSE), 0)</f>
        <v>4363.6363636363631</v>
      </c>
      <c r="G1558" s="6">
        <f t="shared" si="26"/>
        <v>1745454.5454545452</v>
      </c>
    </row>
    <row r="1559" spans="1:7" ht="17.25" x14ac:dyDescent="0.3">
      <c r="A1559" s="22" t="s">
        <v>328</v>
      </c>
      <c r="B1559" s="3" t="s">
        <v>46</v>
      </c>
      <c r="C1559" s="4" t="s">
        <v>342</v>
      </c>
      <c r="D1559" s="3" t="s">
        <v>61</v>
      </c>
      <c r="E1559" s="25">
        <v>389</v>
      </c>
      <c r="F1559" s="5">
        <f>IFERROR(VLOOKUP(D1559, Sheet2!$A:$C, 3, FALSE), 0)</f>
        <v>7363.6363636363631</v>
      </c>
      <c r="G1559" s="6">
        <f t="shared" si="26"/>
        <v>2864454.5454545454</v>
      </c>
    </row>
    <row r="1560" spans="1:7" ht="17.25" x14ac:dyDescent="0.3">
      <c r="A1560" s="22" t="s">
        <v>328</v>
      </c>
      <c r="B1560" s="3" t="s">
        <v>69</v>
      </c>
      <c r="C1560" s="4" t="s">
        <v>341</v>
      </c>
      <c r="D1560" s="4" t="s">
        <v>68</v>
      </c>
      <c r="E1560" s="25">
        <f>(0.03*10000+0.03*10000)/3</f>
        <v>200</v>
      </c>
      <c r="F1560" s="5">
        <f>IFERROR(VLOOKUP(D1560, Sheet2!$A:$C, 3, FALSE), 0)</f>
        <v>13400</v>
      </c>
      <c r="G1560" s="6">
        <f t="shared" si="26"/>
        <v>2680000</v>
      </c>
    </row>
    <row r="1561" spans="1:7" ht="17.25" x14ac:dyDescent="0.3">
      <c r="A1561" s="3" t="s">
        <v>328</v>
      </c>
      <c r="B1561" s="3" t="s">
        <v>25</v>
      </c>
      <c r="C1561" s="4" t="s">
        <v>337</v>
      </c>
      <c r="D1561" s="11" t="s">
        <v>78</v>
      </c>
      <c r="E1561" s="25">
        <f>0.13*9300</f>
        <v>1209</v>
      </c>
      <c r="F1561" s="5">
        <f>IFERROR(VLOOKUP(D1561, Sheet2!$A:$C, 3, FALSE), 0)</f>
        <v>14999.999999999998</v>
      </c>
      <c r="G1561" s="6">
        <f t="shared" si="26"/>
        <v>18134999.999999996</v>
      </c>
    </row>
    <row r="1562" spans="1:7" ht="17.25" x14ac:dyDescent="0.3">
      <c r="A1562" s="22" t="s">
        <v>328</v>
      </c>
      <c r="B1562" s="3" t="s">
        <v>48</v>
      </c>
      <c r="C1562" s="4" t="s">
        <v>344</v>
      </c>
      <c r="D1562" s="3" t="s">
        <v>52</v>
      </c>
      <c r="E1562" s="25">
        <f>840/2</f>
        <v>420</v>
      </c>
      <c r="F1562" s="5">
        <f>IFERROR(VLOOKUP(D1562, Sheet2!$A:$C, 3, FALSE), 0)</f>
        <v>5999.9999999999991</v>
      </c>
      <c r="G1562" s="6">
        <f t="shared" si="26"/>
        <v>2519999.9999999995</v>
      </c>
    </row>
    <row r="1563" spans="1:7" ht="17.25" x14ac:dyDescent="0.3">
      <c r="A1563" s="3" t="s">
        <v>328</v>
      </c>
      <c r="B1563" s="3" t="s">
        <v>16</v>
      </c>
      <c r="C1563" s="4" t="s">
        <v>337</v>
      </c>
      <c r="D1563" s="3" t="s">
        <v>55</v>
      </c>
      <c r="E1563" s="25">
        <f>0.13*12000</f>
        <v>1560</v>
      </c>
      <c r="F1563" s="5">
        <f>IFERROR(VLOOKUP(D1563, Sheet2!$A:$C, 3, FALSE), 0)</f>
        <v>14899.999999999998</v>
      </c>
      <c r="G1563" s="6">
        <f t="shared" si="26"/>
        <v>23243999.999999996</v>
      </c>
    </row>
    <row r="1564" spans="1:7" ht="17.25" x14ac:dyDescent="0.3">
      <c r="A1564" s="22" t="s">
        <v>328</v>
      </c>
      <c r="B1564" s="3" t="s">
        <v>11</v>
      </c>
      <c r="C1564" s="4" t="s">
        <v>339</v>
      </c>
      <c r="D1564" s="3" t="s">
        <v>89</v>
      </c>
      <c r="E1564" s="27">
        <f>0.24*9000</f>
        <v>2160</v>
      </c>
      <c r="F1564" s="5">
        <f>IFERROR(VLOOKUP(D1564, Sheet2!$A:$C, 3, FALSE), 0)</f>
        <v>5000</v>
      </c>
      <c r="G1564" s="6">
        <f t="shared" si="26"/>
        <v>10800000</v>
      </c>
    </row>
    <row r="1565" spans="1:7" ht="17.25" x14ac:dyDescent="0.3">
      <c r="A1565" s="22" t="s">
        <v>328</v>
      </c>
      <c r="B1565" s="23" t="s">
        <v>41</v>
      </c>
      <c r="C1565" s="4" t="s">
        <v>344</v>
      </c>
      <c r="D1565" s="4" t="s">
        <v>39</v>
      </c>
      <c r="E1565" s="26">
        <f>0.07*7000</f>
        <v>490.00000000000006</v>
      </c>
      <c r="F1565" s="5">
        <f>IFERROR(VLOOKUP(D1565, Sheet2!$A:$C, 3, FALSE), 0)</f>
        <v>3863.6363636363635</v>
      </c>
      <c r="G1565" s="6">
        <f t="shared" si="26"/>
        <v>1893181.8181818184</v>
      </c>
    </row>
    <row r="1566" spans="1:7" ht="17.25" x14ac:dyDescent="0.3">
      <c r="A1566" s="22" t="s">
        <v>329</v>
      </c>
      <c r="B1566" s="3" t="s">
        <v>69</v>
      </c>
      <c r="C1566" s="4" t="s">
        <v>341</v>
      </c>
      <c r="D1566" s="4" t="s">
        <v>68</v>
      </c>
      <c r="E1566" s="25">
        <f>0.06*10000/3</f>
        <v>200</v>
      </c>
      <c r="F1566" s="5">
        <f>IFERROR(VLOOKUP(D1566, Sheet2!$A:$C, 3, FALSE), 0)</f>
        <v>13400</v>
      </c>
      <c r="G1566" s="6">
        <f t="shared" si="26"/>
        <v>2680000</v>
      </c>
    </row>
    <row r="1567" spans="1:7" ht="17.25" x14ac:dyDescent="0.3">
      <c r="A1567" s="3" t="s">
        <v>329</v>
      </c>
      <c r="B1567" s="3" t="s">
        <v>25</v>
      </c>
      <c r="C1567" s="4" t="s">
        <v>337</v>
      </c>
      <c r="D1567" s="9" t="s">
        <v>79</v>
      </c>
      <c r="E1567" s="26">
        <f>0.15*9300/3</f>
        <v>465</v>
      </c>
      <c r="F1567" s="5">
        <f>IFERROR(VLOOKUP(D1567, Sheet2!$A:$C, 3, FALSE), 0)</f>
        <v>21363.63636363636</v>
      </c>
      <c r="G1567" s="6">
        <f t="shared" si="26"/>
        <v>9934090.9090909082</v>
      </c>
    </row>
    <row r="1568" spans="1:7" ht="17.25" x14ac:dyDescent="0.3">
      <c r="A1568" s="22" t="s">
        <v>329</v>
      </c>
      <c r="B1568" s="3" t="s">
        <v>25</v>
      </c>
      <c r="C1568" s="4" t="s">
        <v>215</v>
      </c>
      <c r="D1568" s="3" t="s">
        <v>173</v>
      </c>
      <c r="E1568" s="25">
        <f>0.1*9300</f>
        <v>930</v>
      </c>
      <c r="F1568" s="5">
        <f>IFERROR(VLOOKUP(D1568, Sheet2!$A:$C, 3, FALSE), 0)</f>
        <v>7181.8181818181811</v>
      </c>
      <c r="G1568" s="6">
        <f t="shared" si="26"/>
        <v>6679090.9090909082</v>
      </c>
    </row>
    <row r="1569" spans="1:7" ht="17.25" x14ac:dyDescent="0.3">
      <c r="A1569" s="3" t="s">
        <v>329</v>
      </c>
      <c r="B1569" s="3" t="s">
        <v>24</v>
      </c>
      <c r="C1569" s="4" t="s">
        <v>342</v>
      </c>
      <c r="D1569" s="3" t="s">
        <v>61</v>
      </c>
      <c r="E1569" s="25">
        <v>95</v>
      </c>
      <c r="F1569" s="5">
        <f>IFERROR(VLOOKUP(D1569, Sheet2!$A:$C, 3, FALSE), 0)</f>
        <v>7363.6363636363631</v>
      </c>
      <c r="G1569" s="6">
        <f t="shared" si="26"/>
        <v>699545.45454545447</v>
      </c>
    </row>
    <row r="1570" spans="1:7" ht="17.25" x14ac:dyDescent="0.3">
      <c r="A1570" s="22" t="s">
        <v>329</v>
      </c>
      <c r="B1570" s="3" t="s">
        <v>11</v>
      </c>
      <c r="C1570" s="4" t="s">
        <v>339</v>
      </c>
      <c r="D1570" s="3" t="s">
        <v>189</v>
      </c>
      <c r="E1570" s="25">
        <v>74</v>
      </c>
      <c r="F1570" s="5">
        <f>IFERROR(VLOOKUP(D1570, Sheet2!$A:$C, 3, FALSE), 0)</f>
        <v>13636.363636363636</v>
      </c>
      <c r="G1570" s="6">
        <f t="shared" si="26"/>
        <v>1009090.9090909091</v>
      </c>
    </row>
    <row r="1571" spans="1:7" ht="17.25" x14ac:dyDescent="0.3">
      <c r="A1571" s="22" t="s">
        <v>329</v>
      </c>
      <c r="B1571" s="3" t="s">
        <v>11</v>
      </c>
      <c r="C1571" s="4" t="s">
        <v>342</v>
      </c>
      <c r="D1571" s="3" t="s">
        <v>61</v>
      </c>
      <c r="E1571" s="25">
        <f>0.01*9000</f>
        <v>90</v>
      </c>
      <c r="F1571" s="5">
        <f>IFERROR(VLOOKUP(D1571, Sheet2!$A:$C, 3, FALSE), 0)</f>
        <v>7363.6363636363631</v>
      </c>
      <c r="G1571" s="6">
        <f t="shared" si="26"/>
        <v>662727.27272727271</v>
      </c>
    </row>
    <row r="1572" spans="1:7" ht="17.25" x14ac:dyDescent="0.3">
      <c r="A1572" s="3" t="s">
        <v>329</v>
      </c>
      <c r="B1572" s="23" t="s">
        <v>41</v>
      </c>
      <c r="C1572" s="4" t="s">
        <v>344</v>
      </c>
      <c r="D1572" s="4" t="s">
        <v>39</v>
      </c>
      <c r="E1572" s="26">
        <f>0.1*7000</f>
        <v>700</v>
      </c>
      <c r="F1572" s="5">
        <f>IFERROR(VLOOKUP(D1572, Sheet2!$A:$C, 3, FALSE), 0)</f>
        <v>3863.6363636363635</v>
      </c>
      <c r="G1572" s="6">
        <f t="shared" si="26"/>
        <v>2704545.4545454546</v>
      </c>
    </row>
    <row r="1573" spans="1:7" ht="17.25" x14ac:dyDescent="0.3">
      <c r="A1573" s="3" t="s">
        <v>329</v>
      </c>
      <c r="B1573" s="23" t="s">
        <v>33</v>
      </c>
      <c r="C1573" s="4" t="s">
        <v>341</v>
      </c>
      <c r="D1573" s="4" t="s">
        <v>110</v>
      </c>
      <c r="E1573" s="25">
        <f>0.01*4000/0.5</f>
        <v>80</v>
      </c>
      <c r="F1573" s="5">
        <f>IFERROR(VLOOKUP(D1573, Sheet2!$A:$C, 3, FALSE), 0)</f>
        <v>2500</v>
      </c>
      <c r="G1573" s="6">
        <f t="shared" si="26"/>
        <v>200000</v>
      </c>
    </row>
    <row r="1574" spans="1:7" ht="17.25" x14ac:dyDescent="0.3">
      <c r="A1574" s="22" t="s">
        <v>329</v>
      </c>
      <c r="B1574" s="23" t="s">
        <v>33</v>
      </c>
      <c r="C1574" s="4" t="s">
        <v>341</v>
      </c>
      <c r="D1574" s="4" t="s">
        <v>68</v>
      </c>
      <c r="E1574" s="25">
        <f>(0.025*4000+0.1*4000)/3</f>
        <v>166.66666666666666</v>
      </c>
      <c r="F1574" s="5">
        <f>IFERROR(VLOOKUP(D1574, Sheet2!$A:$C, 3, FALSE), 0)</f>
        <v>13400</v>
      </c>
      <c r="G1574" s="6">
        <f t="shared" si="26"/>
        <v>2233333.333333333</v>
      </c>
    </row>
    <row r="1575" spans="1:7" ht="17.25" x14ac:dyDescent="0.3">
      <c r="A1575" s="22" t="s">
        <v>330</v>
      </c>
      <c r="B1575" s="23" t="s">
        <v>5</v>
      </c>
      <c r="C1575" s="4" t="s">
        <v>337</v>
      </c>
      <c r="D1575" s="3" t="s">
        <v>83</v>
      </c>
      <c r="E1575" s="25">
        <v>828</v>
      </c>
      <c r="F1575" s="5">
        <f>IFERROR(VLOOKUP(D1575, Sheet2!$A:$C, 3, FALSE), 0)</f>
        <v>7636.363636363636</v>
      </c>
      <c r="G1575" s="6">
        <f t="shared" si="26"/>
        <v>6322909.0909090908</v>
      </c>
    </row>
    <row r="1576" spans="1:7" ht="17.25" x14ac:dyDescent="0.3">
      <c r="A1576" s="3" t="s">
        <v>330</v>
      </c>
      <c r="B1576" s="3" t="s">
        <v>21</v>
      </c>
      <c r="C1576" s="4" t="s">
        <v>344</v>
      </c>
      <c r="D1576" s="3" t="s">
        <v>22</v>
      </c>
      <c r="E1576" s="25">
        <v>170</v>
      </c>
      <c r="F1576" s="5">
        <f>IFERROR(VLOOKUP(D1576, Sheet2!$A:$C, 3, FALSE), 0)</f>
        <v>5999.9999999999991</v>
      </c>
      <c r="G1576" s="6">
        <f t="shared" si="26"/>
        <v>1019999.9999999999</v>
      </c>
    </row>
    <row r="1577" spans="1:7" ht="17.25" x14ac:dyDescent="0.3">
      <c r="A1577" s="3" t="s">
        <v>330</v>
      </c>
      <c r="B1577" s="3" t="s">
        <v>21</v>
      </c>
      <c r="C1577" s="4" t="s">
        <v>344</v>
      </c>
      <c r="D1577" s="3" t="s">
        <v>52</v>
      </c>
      <c r="E1577" s="25">
        <v>85</v>
      </c>
      <c r="F1577" s="5">
        <f>IFERROR(VLOOKUP(D1577, Sheet2!$A:$C, 3, FALSE), 0)</f>
        <v>5999.9999999999991</v>
      </c>
      <c r="G1577" s="6">
        <f t="shared" si="26"/>
        <v>509999.99999999994</v>
      </c>
    </row>
    <row r="1578" spans="1:7" ht="17.25" x14ac:dyDescent="0.3">
      <c r="A1578" s="3" t="s">
        <v>330</v>
      </c>
      <c r="B1578" s="3" t="s">
        <v>27</v>
      </c>
      <c r="C1578" s="4" t="s">
        <v>344</v>
      </c>
      <c r="D1578" s="3" t="s">
        <v>20</v>
      </c>
      <c r="E1578" s="25">
        <v>350</v>
      </c>
      <c r="F1578" s="5">
        <f>IFERROR(VLOOKUP(D1578, Sheet2!$A:$C, 3, FALSE), 0)</f>
        <v>6999.9999999999991</v>
      </c>
      <c r="G1578" s="6">
        <f t="shared" si="26"/>
        <v>2449999.9999999995</v>
      </c>
    </row>
    <row r="1579" spans="1:7" ht="17.25" x14ac:dyDescent="0.3">
      <c r="A1579" s="3" t="s">
        <v>330</v>
      </c>
      <c r="B1579" s="3" t="s">
        <v>30</v>
      </c>
      <c r="C1579" s="4" t="s">
        <v>344</v>
      </c>
      <c r="D1579" s="3" t="s">
        <v>20</v>
      </c>
      <c r="E1579" s="25">
        <v>364</v>
      </c>
      <c r="F1579" s="5">
        <f>IFERROR(VLOOKUP(D1579, Sheet2!$A:$C, 3, FALSE), 0)</f>
        <v>6999.9999999999991</v>
      </c>
      <c r="G1579" s="6">
        <f t="shared" si="26"/>
        <v>2547999.9999999995</v>
      </c>
    </row>
    <row r="1580" spans="1:7" ht="17.25" x14ac:dyDescent="0.3">
      <c r="A1580" s="3" t="s">
        <v>331</v>
      </c>
      <c r="B1580" s="3" t="s">
        <v>31</v>
      </c>
      <c r="C1580" s="4" t="s">
        <v>343</v>
      </c>
      <c r="D1580" s="3" t="s">
        <v>45</v>
      </c>
      <c r="E1580" s="25">
        <f>0.04*7000</f>
        <v>280</v>
      </c>
      <c r="F1580" s="5">
        <f>IFERROR(VLOOKUP(D1580, Sheet2!$A:$C, 3, FALSE), 0)</f>
        <v>10909.090909090908</v>
      </c>
      <c r="G1580" s="6">
        <f t="shared" si="26"/>
        <v>3054545.4545454541</v>
      </c>
    </row>
    <row r="1581" spans="1:7" ht="17.25" x14ac:dyDescent="0.3">
      <c r="A1581" s="3" t="s">
        <v>331</v>
      </c>
      <c r="B1581" s="3" t="s">
        <v>69</v>
      </c>
      <c r="C1581" s="4" t="s">
        <v>341</v>
      </c>
      <c r="D1581" s="4" t="s">
        <v>68</v>
      </c>
      <c r="E1581" s="25">
        <f>(0.03*10000+0.03*10000)/3</f>
        <v>200</v>
      </c>
      <c r="F1581" s="5">
        <f>IFERROR(VLOOKUP(D1581, Sheet2!$A:$C, 3, FALSE), 0)</f>
        <v>13400</v>
      </c>
      <c r="G1581" s="6">
        <f t="shared" si="26"/>
        <v>2680000</v>
      </c>
    </row>
    <row r="1582" spans="1:7" ht="17.25" x14ac:dyDescent="0.3">
      <c r="A1582" s="3" t="s">
        <v>331</v>
      </c>
      <c r="B1582" s="3" t="s">
        <v>150</v>
      </c>
      <c r="C1582" s="4" t="s">
        <v>344</v>
      </c>
      <c r="D1582" s="3" t="s">
        <v>139</v>
      </c>
      <c r="E1582" s="25">
        <v>450</v>
      </c>
      <c r="F1582" s="5">
        <f>IFERROR(VLOOKUP(D1582, Sheet2!$A:$C, 3, FALSE), 0)</f>
        <v>4363.6363636363631</v>
      </c>
      <c r="G1582" s="6">
        <f t="shared" si="26"/>
        <v>1963636.3636363633</v>
      </c>
    </row>
    <row r="1583" spans="1:7" ht="17.25" x14ac:dyDescent="0.3">
      <c r="A1583" s="22" t="s">
        <v>331</v>
      </c>
      <c r="B1583" s="3" t="s">
        <v>29</v>
      </c>
      <c r="C1583" s="4" t="s">
        <v>344</v>
      </c>
      <c r="D1583" s="3" t="s">
        <v>20</v>
      </c>
      <c r="E1583" s="25">
        <f>0.05*5500</f>
        <v>275</v>
      </c>
      <c r="F1583" s="5">
        <f>IFERROR(VLOOKUP(D1583, Sheet2!$A:$C, 3, FALSE), 0)</f>
        <v>6999.9999999999991</v>
      </c>
      <c r="G1583" s="6">
        <f t="shared" si="26"/>
        <v>1924999.9999999998</v>
      </c>
    </row>
    <row r="1584" spans="1:7" ht="17.25" x14ac:dyDescent="0.3">
      <c r="A1584" s="22" t="s">
        <v>331</v>
      </c>
      <c r="B1584" s="3" t="s">
        <v>16</v>
      </c>
      <c r="C1584" s="4" t="s">
        <v>342</v>
      </c>
      <c r="D1584" s="3" t="s">
        <v>35</v>
      </c>
      <c r="E1584" s="25">
        <f>0.05*12000</f>
        <v>600</v>
      </c>
      <c r="F1584" s="5">
        <f>IFERROR(VLOOKUP(D1584, Sheet2!$A:$C, 3, FALSE), 0)</f>
        <v>8363.6363636363621</v>
      </c>
      <c r="G1584" s="6">
        <f t="shared" si="26"/>
        <v>5018181.8181818174</v>
      </c>
    </row>
    <row r="1585" spans="1:7" ht="17.25" x14ac:dyDescent="0.3">
      <c r="A1585" s="3" t="s">
        <v>331</v>
      </c>
      <c r="B1585" s="3" t="s">
        <v>63</v>
      </c>
      <c r="C1585" s="4" t="s">
        <v>343</v>
      </c>
      <c r="D1585" s="3" t="s">
        <v>135</v>
      </c>
      <c r="E1585" s="25">
        <f>0.14*7500</f>
        <v>1050</v>
      </c>
      <c r="F1585" s="5">
        <f>IFERROR(VLOOKUP(D1585, Sheet2!$A:$C, 3, FALSE), 0)</f>
        <v>13999.999999999998</v>
      </c>
      <c r="G1585" s="6">
        <f t="shared" si="26"/>
        <v>14699999.999999998</v>
      </c>
    </row>
    <row r="1586" spans="1:7" ht="17.25" x14ac:dyDescent="0.3">
      <c r="A1586" s="3" t="s">
        <v>331</v>
      </c>
      <c r="B1586" s="23" t="s">
        <v>33</v>
      </c>
      <c r="C1586" s="4" t="s">
        <v>344</v>
      </c>
      <c r="D1586" s="3" t="s">
        <v>20</v>
      </c>
      <c r="E1586" s="25">
        <f>0.07*4000</f>
        <v>280</v>
      </c>
      <c r="F1586" s="5">
        <f>IFERROR(VLOOKUP(D1586, Sheet2!$A:$C, 3, FALSE), 0)</f>
        <v>6999.9999999999991</v>
      </c>
      <c r="G1586" s="6">
        <f t="shared" si="26"/>
        <v>1959999.9999999998</v>
      </c>
    </row>
    <row r="1587" spans="1:7" ht="17.25" x14ac:dyDescent="0.3">
      <c r="A1587" s="3" t="s">
        <v>331</v>
      </c>
      <c r="B1587" s="3" t="s">
        <v>51</v>
      </c>
      <c r="C1587" s="4" t="s">
        <v>337</v>
      </c>
      <c r="D1587" s="3" t="s">
        <v>9</v>
      </c>
      <c r="E1587" s="25">
        <v>960</v>
      </c>
      <c r="F1587" s="5">
        <f>IFERROR(VLOOKUP(D1587, Sheet2!$A:$C, 3, FALSE), 0)</f>
        <v>18636.363636363636</v>
      </c>
      <c r="G1587" s="6">
        <f t="shared" si="26"/>
        <v>17890909.09090909</v>
      </c>
    </row>
    <row r="1588" spans="1:7" ht="17.25" x14ac:dyDescent="0.3">
      <c r="A1588" s="22" t="s">
        <v>331</v>
      </c>
      <c r="B1588" s="3" t="s">
        <v>18</v>
      </c>
      <c r="C1588" s="4" t="s">
        <v>337</v>
      </c>
      <c r="D1588" s="11" t="s">
        <v>83</v>
      </c>
      <c r="E1588" s="25">
        <v>759</v>
      </c>
      <c r="F1588" s="5">
        <f>IFERROR(VLOOKUP(D1588, Sheet2!$A:$C, 3, FALSE), 0)</f>
        <v>7636.363636363636</v>
      </c>
      <c r="G1588" s="6">
        <f t="shared" si="26"/>
        <v>5796000</v>
      </c>
    </row>
    <row r="1589" spans="1:7" ht="17.25" x14ac:dyDescent="0.3">
      <c r="A1589" s="3" t="s">
        <v>332</v>
      </c>
      <c r="B1589" s="23" t="s">
        <v>93</v>
      </c>
      <c r="C1589" s="4" t="s">
        <v>342</v>
      </c>
      <c r="D1589" s="3" t="s">
        <v>35</v>
      </c>
      <c r="E1589" s="25">
        <v>425</v>
      </c>
      <c r="F1589" s="5">
        <f>IFERROR(VLOOKUP(D1589, Sheet2!$A:$C, 3, FALSE), 0)</f>
        <v>8363.6363636363621</v>
      </c>
      <c r="G1589" s="6">
        <f t="shared" si="26"/>
        <v>3554545.4545454541</v>
      </c>
    </row>
    <row r="1590" spans="1:7" ht="17.25" x14ac:dyDescent="0.3">
      <c r="A1590" s="22" t="s">
        <v>332</v>
      </c>
      <c r="B1590" s="3" t="s">
        <v>21</v>
      </c>
      <c r="C1590" s="4" t="s">
        <v>344</v>
      </c>
      <c r="D1590" s="11" t="s">
        <v>44</v>
      </c>
      <c r="E1590" s="25">
        <v>255</v>
      </c>
      <c r="F1590" s="5">
        <f>IFERROR(VLOOKUP(D1590, Sheet2!$A:$C, 3, FALSE), 0)</f>
        <v>5909.090909090909</v>
      </c>
      <c r="G1590" s="6">
        <f t="shared" si="26"/>
        <v>1506818.1818181819</v>
      </c>
    </row>
    <row r="1591" spans="1:7" ht="17.25" x14ac:dyDescent="0.3">
      <c r="A1591" s="22" t="s">
        <v>332</v>
      </c>
      <c r="B1591" s="3" t="s">
        <v>21</v>
      </c>
      <c r="C1591" s="4" t="s">
        <v>344</v>
      </c>
      <c r="D1591" s="3" t="s">
        <v>22</v>
      </c>
      <c r="E1591" s="25">
        <v>85</v>
      </c>
      <c r="F1591" s="5">
        <f>IFERROR(VLOOKUP(D1591, Sheet2!$A:$C, 3, FALSE), 0)</f>
        <v>5999.9999999999991</v>
      </c>
      <c r="G1591" s="6">
        <f t="shared" si="26"/>
        <v>509999.99999999994</v>
      </c>
    </row>
    <row r="1592" spans="1:7" ht="17.25" x14ac:dyDescent="0.3">
      <c r="A1592" s="3" t="s">
        <v>332</v>
      </c>
      <c r="B1592" s="3" t="s">
        <v>24</v>
      </c>
      <c r="C1592" s="4" t="s">
        <v>338</v>
      </c>
      <c r="D1592" s="3" t="s">
        <v>73</v>
      </c>
      <c r="E1592" s="25">
        <f>216/0.78</f>
        <v>276.92307692307691</v>
      </c>
      <c r="F1592" s="5">
        <f>IFERROR(VLOOKUP(D1592, Sheet2!$A:$C, 3, FALSE), 0)</f>
        <v>7899.9999999999991</v>
      </c>
      <c r="G1592" s="6">
        <f t="shared" si="26"/>
        <v>2187692.3076923075</v>
      </c>
    </row>
    <row r="1593" spans="1:7" ht="17.25" x14ac:dyDescent="0.3">
      <c r="A1593" s="3" t="s">
        <v>332</v>
      </c>
      <c r="B1593" s="3" t="s">
        <v>60</v>
      </c>
      <c r="C1593" s="4" t="s">
        <v>337</v>
      </c>
      <c r="D1593" s="11" t="s">
        <v>128</v>
      </c>
      <c r="E1593" s="25">
        <v>340</v>
      </c>
      <c r="F1593" s="5">
        <f>IFERROR(VLOOKUP(D1593, Sheet2!$A:$C, 3, FALSE), 0)</f>
        <v>20727.272727272724</v>
      </c>
      <c r="G1593" s="6">
        <f t="shared" si="26"/>
        <v>7047272.7272727266</v>
      </c>
    </row>
    <row r="1594" spans="1:7" ht="17.25" x14ac:dyDescent="0.3">
      <c r="A1594" s="3" t="s">
        <v>333</v>
      </c>
      <c r="B1594" s="3" t="s">
        <v>19</v>
      </c>
      <c r="C1594" s="4" t="s">
        <v>338</v>
      </c>
      <c r="D1594" s="3" t="s">
        <v>73</v>
      </c>
      <c r="E1594" s="25">
        <f>0.06*6800/0.78</f>
        <v>523.07692307692309</v>
      </c>
      <c r="F1594" s="5">
        <f>IFERROR(VLOOKUP(D1594, Sheet2!$A:$C, 3, FALSE), 0)</f>
        <v>7899.9999999999991</v>
      </c>
      <c r="G1594" s="6">
        <f t="shared" si="26"/>
        <v>4132307.692307692</v>
      </c>
    </row>
    <row r="1595" spans="1:7" ht="17.25" x14ac:dyDescent="0.3">
      <c r="A1595" s="3" t="s">
        <v>333</v>
      </c>
      <c r="B1595" s="3" t="s">
        <v>46</v>
      </c>
      <c r="C1595" s="4" t="s">
        <v>337</v>
      </c>
      <c r="D1595" s="3" t="s">
        <v>78</v>
      </c>
      <c r="E1595" s="25">
        <v>1265</v>
      </c>
      <c r="F1595" s="5">
        <f>IFERROR(VLOOKUP(D1595, Sheet2!$A:$C, 3, FALSE), 0)</f>
        <v>14999.999999999998</v>
      </c>
      <c r="G1595" s="6">
        <f t="shared" si="26"/>
        <v>18974999.999999996</v>
      </c>
    </row>
    <row r="1596" spans="1:7" ht="17.25" x14ac:dyDescent="0.3">
      <c r="A1596" s="3" t="s">
        <v>333</v>
      </c>
      <c r="B1596" s="3" t="s">
        <v>46</v>
      </c>
      <c r="C1596" s="4" t="s">
        <v>337</v>
      </c>
      <c r="D1596" s="3" t="s">
        <v>6</v>
      </c>
      <c r="E1596" s="25">
        <v>1265</v>
      </c>
      <c r="F1596" s="5">
        <f>IFERROR(VLOOKUP(D1596, Sheet2!$A:$C, 3, FALSE), 0)</f>
        <v>14999.999999999998</v>
      </c>
      <c r="G1596" s="6">
        <f t="shared" si="26"/>
        <v>18974999.999999996</v>
      </c>
    </row>
    <row r="1597" spans="1:7" ht="17.25" x14ac:dyDescent="0.3">
      <c r="A1597" s="3" t="s">
        <v>333</v>
      </c>
      <c r="B1597" s="3" t="s">
        <v>46</v>
      </c>
      <c r="C1597" s="4" t="s">
        <v>342</v>
      </c>
      <c r="D1597" s="11" t="s">
        <v>35</v>
      </c>
      <c r="E1597" s="25">
        <v>584</v>
      </c>
      <c r="F1597" s="5">
        <f>IFERROR(VLOOKUP(D1597, Sheet2!$A:$C, 3, FALSE), 0)</f>
        <v>8363.6363636363621</v>
      </c>
      <c r="G1597" s="6">
        <f t="shared" si="26"/>
        <v>4884363.6363636358</v>
      </c>
    </row>
    <row r="1598" spans="1:7" ht="17.25" x14ac:dyDescent="0.3">
      <c r="A1598" s="22" t="s">
        <v>333</v>
      </c>
      <c r="B1598" s="3" t="s">
        <v>31</v>
      </c>
      <c r="C1598" s="4" t="s">
        <v>344</v>
      </c>
      <c r="D1598" s="3" t="s">
        <v>32</v>
      </c>
      <c r="E1598" s="25">
        <f>0.06*7000/0.6</f>
        <v>700</v>
      </c>
      <c r="F1598" s="5">
        <f>IFERROR(VLOOKUP(D1598, Sheet2!$A:$C, 3, FALSE), 0)</f>
        <v>4363.6363636363631</v>
      </c>
      <c r="G1598" s="6">
        <f t="shared" si="26"/>
        <v>3054545.4545454541</v>
      </c>
    </row>
    <row r="1599" spans="1:7" ht="17.25" x14ac:dyDescent="0.3">
      <c r="A1599" s="22" t="s">
        <v>333</v>
      </c>
      <c r="B1599" s="3" t="s">
        <v>69</v>
      </c>
      <c r="C1599" s="4" t="s">
        <v>341</v>
      </c>
      <c r="D1599" s="4" t="s">
        <v>68</v>
      </c>
      <c r="E1599" s="25">
        <f>(0.03*10000+0.03*10000)/3</f>
        <v>200</v>
      </c>
      <c r="F1599" s="5">
        <f>IFERROR(VLOOKUP(D1599, Sheet2!$A:$C, 3, FALSE), 0)</f>
        <v>13400</v>
      </c>
      <c r="G1599" s="6">
        <f t="shared" si="26"/>
        <v>2680000</v>
      </c>
    </row>
    <row r="1600" spans="1:7" ht="17.25" x14ac:dyDescent="0.3">
      <c r="A1600" s="22" t="s">
        <v>333</v>
      </c>
      <c r="B1600" s="3" t="s">
        <v>25</v>
      </c>
      <c r="C1600" s="4" t="s">
        <v>215</v>
      </c>
      <c r="D1600" s="3" t="s">
        <v>173</v>
      </c>
      <c r="E1600" s="25">
        <f>0.1*9300</f>
        <v>930</v>
      </c>
      <c r="F1600" s="5">
        <f>IFERROR(VLOOKUP(D1600, Sheet2!$A:$C, 3, FALSE), 0)</f>
        <v>7181.8181818181811</v>
      </c>
      <c r="G1600" s="6">
        <f t="shared" si="26"/>
        <v>6679090.9090909082</v>
      </c>
    </row>
    <row r="1601" spans="1:7" ht="17.25" x14ac:dyDescent="0.3">
      <c r="A1601" s="3" t="s">
        <v>333</v>
      </c>
      <c r="B1601" s="3" t="s">
        <v>25</v>
      </c>
      <c r="C1601" s="4" t="s">
        <v>215</v>
      </c>
      <c r="D1601" s="3" t="s">
        <v>264</v>
      </c>
      <c r="E1601" s="25">
        <f>0.12*9300</f>
        <v>1116</v>
      </c>
      <c r="F1601" s="5">
        <f>IFERROR(VLOOKUP(D1601, Sheet2!$A:$C, 3, FALSE), 0)</f>
        <v>4454.545454545454</v>
      </c>
      <c r="G1601" s="6">
        <f t="shared" si="26"/>
        <v>4971272.7272727266</v>
      </c>
    </row>
    <row r="1602" spans="1:7" ht="17.25" x14ac:dyDescent="0.3">
      <c r="A1602" s="22" t="s">
        <v>333</v>
      </c>
      <c r="B1602" s="3" t="s">
        <v>24</v>
      </c>
      <c r="C1602" s="4" t="s">
        <v>338</v>
      </c>
      <c r="D1602" s="3" t="s">
        <v>73</v>
      </c>
      <c r="E1602" s="25">
        <f>216/0.78</f>
        <v>276.92307692307691</v>
      </c>
      <c r="F1602" s="5">
        <f>IFERROR(VLOOKUP(D1602, Sheet2!$A:$C, 3, FALSE), 0)</f>
        <v>7899.9999999999991</v>
      </c>
      <c r="G1602" s="6">
        <f t="shared" si="26"/>
        <v>2187692.3076923075</v>
      </c>
    </row>
    <row r="1603" spans="1:7" ht="17.25" x14ac:dyDescent="0.3">
      <c r="A1603" s="3" t="s">
        <v>333</v>
      </c>
      <c r="B1603" s="3" t="s">
        <v>23</v>
      </c>
      <c r="C1603" s="4" t="s">
        <v>338</v>
      </c>
      <c r="D1603" s="3" t="s">
        <v>36</v>
      </c>
      <c r="E1603" s="25">
        <f>0.07*4000/0.9</f>
        <v>311.11111111111109</v>
      </c>
      <c r="F1603" s="5">
        <f>IFERROR(VLOOKUP(D1603, Sheet2!$A:$C, 3, FALSE), 0)</f>
        <v>7899.9999999999991</v>
      </c>
      <c r="G1603" s="6">
        <f t="shared" si="26"/>
        <v>2457777.7777777775</v>
      </c>
    </row>
    <row r="1604" spans="1:7" ht="17.25" x14ac:dyDescent="0.3">
      <c r="A1604" s="3" t="s">
        <v>333</v>
      </c>
      <c r="B1604" s="3" t="s">
        <v>23</v>
      </c>
      <c r="C1604" s="4" t="s">
        <v>338</v>
      </c>
      <c r="D1604" s="3" t="s">
        <v>36</v>
      </c>
      <c r="E1604" s="25">
        <f>0.07*4000/0.9</f>
        <v>311.11111111111109</v>
      </c>
      <c r="F1604" s="5">
        <f>IFERROR(VLOOKUP(D1604, Sheet2!$A:$C, 3, FALSE), 0)</f>
        <v>7899.9999999999991</v>
      </c>
      <c r="G1604" s="6">
        <f t="shared" si="26"/>
        <v>2457777.7777777775</v>
      </c>
    </row>
    <row r="1605" spans="1:7" ht="17.25" x14ac:dyDescent="0.3">
      <c r="A1605" s="3" t="s">
        <v>333</v>
      </c>
      <c r="B1605" s="3" t="s">
        <v>102</v>
      </c>
      <c r="C1605" s="4" t="s">
        <v>342</v>
      </c>
      <c r="D1605" s="3" t="s">
        <v>35</v>
      </c>
      <c r="E1605" s="25">
        <f>0.05*3000</f>
        <v>150</v>
      </c>
      <c r="F1605" s="5">
        <f>IFERROR(VLOOKUP(D1605, Sheet2!$A:$C, 3, FALSE), 0)</f>
        <v>8363.6363636363621</v>
      </c>
      <c r="G1605" s="6">
        <f t="shared" si="26"/>
        <v>1254545.4545454544</v>
      </c>
    </row>
    <row r="1606" spans="1:7" ht="17.25" x14ac:dyDescent="0.3">
      <c r="A1606" s="22" t="s">
        <v>333</v>
      </c>
      <c r="B1606" s="3" t="s">
        <v>75</v>
      </c>
      <c r="C1606" s="4" t="s">
        <v>342</v>
      </c>
      <c r="D1606" s="3" t="s">
        <v>61</v>
      </c>
      <c r="E1606" s="25">
        <f>0.015*7000</f>
        <v>105</v>
      </c>
      <c r="F1606" s="5">
        <f>IFERROR(VLOOKUP(D1606, Sheet2!$A:$C, 3, FALSE), 0)</f>
        <v>7363.6363636363631</v>
      </c>
      <c r="G1606" s="6">
        <f t="shared" si="26"/>
        <v>773181.81818181812</v>
      </c>
    </row>
    <row r="1607" spans="1:7" ht="17.25" x14ac:dyDescent="0.3">
      <c r="A1607" s="3" t="s">
        <v>333</v>
      </c>
      <c r="B1607" s="23" t="s">
        <v>41</v>
      </c>
      <c r="C1607" s="4" t="s">
        <v>344</v>
      </c>
      <c r="D1607" s="3" t="s">
        <v>32</v>
      </c>
      <c r="E1607" s="25">
        <f>0.06*7000/0.6</f>
        <v>700</v>
      </c>
      <c r="F1607" s="5">
        <f>IFERROR(VLOOKUP(D1607, Sheet2!$A:$C, 3, FALSE), 0)</f>
        <v>4363.6363636363631</v>
      </c>
      <c r="G1607" s="6">
        <f t="shared" si="26"/>
        <v>3054545.4545454541</v>
      </c>
    </row>
    <row r="1608" spans="1:7" ht="17.25" x14ac:dyDescent="0.3">
      <c r="A1608" s="3" t="s">
        <v>333</v>
      </c>
      <c r="B1608" s="3" t="s">
        <v>63</v>
      </c>
      <c r="C1608" s="4" t="s">
        <v>215</v>
      </c>
      <c r="D1608" s="3" t="s">
        <v>264</v>
      </c>
      <c r="E1608" s="25">
        <f>0.07*7500+0.1*7500</f>
        <v>1275</v>
      </c>
      <c r="F1608" s="5">
        <f>IFERROR(VLOOKUP(D1608, Sheet2!$A:$C, 3, FALSE), 0)</f>
        <v>4454.545454545454</v>
      </c>
      <c r="G1608" s="6">
        <f t="shared" si="26"/>
        <v>5679545.4545454541</v>
      </c>
    </row>
    <row r="1609" spans="1:7" ht="17.25" x14ac:dyDescent="0.3">
      <c r="A1609" s="22" t="s">
        <v>333</v>
      </c>
      <c r="B1609" s="23" t="s">
        <v>33</v>
      </c>
      <c r="C1609" s="4" t="s">
        <v>341</v>
      </c>
      <c r="D1609" s="4" t="s">
        <v>110</v>
      </c>
      <c r="E1609" s="25">
        <f>(0.025*4000+0.01*4000)/0.5</f>
        <v>280</v>
      </c>
      <c r="F1609" s="5">
        <f>IFERROR(VLOOKUP(D1609, Sheet2!$A:$C, 3, FALSE), 0)</f>
        <v>2500</v>
      </c>
      <c r="G1609" s="6">
        <f t="shared" si="26"/>
        <v>700000</v>
      </c>
    </row>
    <row r="1610" spans="1:7" ht="17.25" x14ac:dyDescent="0.3">
      <c r="A1610" s="3" t="s">
        <v>333</v>
      </c>
      <c r="B1610" s="23" t="s">
        <v>33</v>
      </c>
      <c r="C1610" s="4" t="s">
        <v>341</v>
      </c>
      <c r="D1610" s="4" t="s">
        <v>68</v>
      </c>
      <c r="E1610" s="25">
        <f>0.02*4000/3</f>
        <v>26.666666666666668</v>
      </c>
      <c r="F1610" s="5">
        <f>IFERROR(VLOOKUP(D1610, Sheet2!$A:$C, 3, FALSE), 0)</f>
        <v>13400</v>
      </c>
      <c r="G1610" s="6">
        <f t="shared" si="26"/>
        <v>357333.33333333337</v>
      </c>
    </row>
    <row r="1611" spans="1:7" ht="17.25" x14ac:dyDescent="0.3">
      <c r="A1611" s="3" t="s">
        <v>334</v>
      </c>
      <c r="B1611" s="3" t="s">
        <v>103</v>
      </c>
      <c r="C1611" s="4" t="s">
        <v>338</v>
      </c>
      <c r="D1611" s="3" t="s">
        <v>36</v>
      </c>
      <c r="E1611" s="25">
        <v>608</v>
      </c>
      <c r="F1611" s="5">
        <f>IFERROR(VLOOKUP(D1611, Sheet2!$A:$C, 3, FALSE), 0)</f>
        <v>7899.9999999999991</v>
      </c>
      <c r="G1611" s="6">
        <f t="shared" si="26"/>
        <v>4803199.9999999991</v>
      </c>
    </row>
    <row r="1612" spans="1:7" ht="17.25" x14ac:dyDescent="0.3">
      <c r="A1612" s="3" t="s">
        <v>334</v>
      </c>
      <c r="B1612" s="3" t="s">
        <v>46</v>
      </c>
      <c r="C1612" s="4" t="s">
        <v>342</v>
      </c>
      <c r="D1612" s="11" t="s">
        <v>35</v>
      </c>
      <c r="E1612" s="28">
        <v>195</v>
      </c>
      <c r="F1612" s="5">
        <f>IFERROR(VLOOKUP(D1612, Sheet2!$A:$C, 3, FALSE), 0)</f>
        <v>8363.6363636363621</v>
      </c>
      <c r="G1612" s="6">
        <f t="shared" si="26"/>
        <v>1630909.0909090906</v>
      </c>
    </row>
    <row r="1613" spans="1:7" ht="17.25" x14ac:dyDescent="0.3">
      <c r="A1613" s="3" t="s">
        <v>334</v>
      </c>
      <c r="B1613" s="3" t="s">
        <v>69</v>
      </c>
      <c r="C1613" s="4" t="s">
        <v>337</v>
      </c>
      <c r="D1613" s="3" t="s">
        <v>6</v>
      </c>
      <c r="E1613" s="25">
        <f>0.18*10000</f>
        <v>1800</v>
      </c>
      <c r="F1613" s="5">
        <f>IFERROR(VLOOKUP(D1613, Sheet2!$A:$C, 3, FALSE), 0)</f>
        <v>14999.999999999998</v>
      </c>
      <c r="G1613" s="6">
        <f t="shared" si="26"/>
        <v>26999999.999999996</v>
      </c>
    </row>
    <row r="1614" spans="1:7" ht="17.25" x14ac:dyDescent="0.3">
      <c r="A1614" s="22" t="s">
        <v>334</v>
      </c>
      <c r="B1614" s="3" t="s">
        <v>69</v>
      </c>
      <c r="C1614" s="4" t="s">
        <v>344</v>
      </c>
      <c r="D1614" s="11" t="s">
        <v>22</v>
      </c>
      <c r="E1614" s="25">
        <f>0.02*10000</f>
        <v>200</v>
      </c>
      <c r="F1614" s="5">
        <f>IFERROR(VLOOKUP(D1614, Sheet2!$A:$C, 3, FALSE), 0)</f>
        <v>5999.9999999999991</v>
      </c>
      <c r="G1614" s="6">
        <f t="shared" si="26"/>
        <v>1199999.9999999998</v>
      </c>
    </row>
    <row r="1615" spans="1:7" ht="17.25" x14ac:dyDescent="0.3">
      <c r="A1615" s="3" t="s">
        <v>334</v>
      </c>
      <c r="B1615" s="3" t="s">
        <v>69</v>
      </c>
      <c r="C1615" s="4" t="s">
        <v>341</v>
      </c>
      <c r="D1615" s="4" t="s">
        <v>68</v>
      </c>
      <c r="E1615" s="25">
        <f>0.03*10000/3</f>
        <v>100</v>
      </c>
      <c r="F1615" s="5">
        <f>IFERROR(VLOOKUP(D1615, Sheet2!$A:$C, 3, FALSE), 0)</f>
        <v>13400</v>
      </c>
      <c r="G1615" s="6">
        <f t="shared" si="26"/>
        <v>1340000</v>
      </c>
    </row>
    <row r="1616" spans="1:7" ht="17.25" x14ac:dyDescent="0.3">
      <c r="A1616" s="22" t="s">
        <v>334</v>
      </c>
      <c r="B1616" s="3" t="s">
        <v>150</v>
      </c>
      <c r="C1616" s="4" t="s">
        <v>344</v>
      </c>
      <c r="D1616" s="3" t="s">
        <v>39</v>
      </c>
      <c r="E1616" s="25">
        <v>270</v>
      </c>
      <c r="F1616" s="5">
        <f>IFERROR(VLOOKUP(D1616, Sheet2!$A:$C, 3, FALSE), 0)</f>
        <v>3863.6363636363635</v>
      </c>
      <c r="G1616" s="6">
        <f t="shared" si="26"/>
        <v>1043181.8181818181</v>
      </c>
    </row>
    <row r="1617" spans="1:7" ht="17.25" x14ac:dyDescent="0.3">
      <c r="A1617" s="3" t="s">
        <v>334</v>
      </c>
      <c r="B1617" s="3" t="s">
        <v>23</v>
      </c>
      <c r="C1617" s="4" t="s">
        <v>338</v>
      </c>
      <c r="D1617" s="3" t="s">
        <v>36</v>
      </c>
      <c r="E1617" s="25">
        <f>0.07*4000/0.9</f>
        <v>311.11111111111109</v>
      </c>
      <c r="F1617" s="5">
        <f>IFERROR(VLOOKUP(D1617, Sheet2!$A:$C, 3, FALSE), 0)</f>
        <v>7899.9999999999991</v>
      </c>
      <c r="G1617" s="6">
        <f t="shared" si="26"/>
        <v>2457777.7777777775</v>
      </c>
    </row>
    <row r="1618" spans="1:7" ht="17.25" x14ac:dyDescent="0.3">
      <c r="A1618" s="22" t="s">
        <v>334</v>
      </c>
      <c r="B1618" s="3" t="s">
        <v>29</v>
      </c>
      <c r="C1618" s="4" t="s">
        <v>338</v>
      </c>
      <c r="D1618" s="3" t="s">
        <v>54</v>
      </c>
      <c r="E1618" s="25">
        <f>0.08*5500/0.78</f>
        <v>564.10256410256409</v>
      </c>
      <c r="F1618" s="5">
        <f>IFERROR(VLOOKUP(D1618, Sheet2!$A:$C, 3, FALSE), 0)</f>
        <v>7899.9999999999991</v>
      </c>
      <c r="G1618" s="6">
        <f t="shared" ref="G1618:G1642" si="27">E1618*F1618</f>
        <v>4456410.256410256</v>
      </c>
    </row>
    <row r="1619" spans="1:7" ht="17.25" x14ac:dyDescent="0.3">
      <c r="A1619" s="3" t="s">
        <v>334</v>
      </c>
      <c r="B1619" s="3" t="s">
        <v>11</v>
      </c>
      <c r="C1619" s="4" t="s">
        <v>337</v>
      </c>
      <c r="D1619" s="3" t="s">
        <v>182</v>
      </c>
      <c r="E1619" s="25">
        <v>126</v>
      </c>
      <c r="F1619" s="5">
        <f>IFERROR(VLOOKUP(D1619, Sheet2!$A:$C, 3, FALSE), 0)</f>
        <v>17800</v>
      </c>
      <c r="G1619" s="6">
        <f t="shared" si="27"/>
        <v>2242800</v>
      </c>
    </row>
    <row r="1620" spans="1:7" ht="17.25" x14ac:dyDescent="0.3">
      <c r="A1620" s="3" t="s">
        <v>334</v>
      </c>
      <c r="B1620" s="3" t="s">
        <v>27</v>
      </c>
      <c r="C1620" s="4" t="s">
        <v>338</v>
      </c>
      <c r="D1620" s="3" t="s">
        <v>54</v>
      </c>
      <c r="E1620" s="25">
        <f>560/0.78</f>
        <v>717.9487179487179</v>
      </c>
      <c r="F1620" s="5">
        <f>IFERROR(VLOOKUP(D1620, Sheet2!$A:$C, 3, FALSE), 0)</f>
        <v>7899.9999999999991</v>
      </c>
      <c r="G1620" s="6">
        <f t="shared" si="27"/>
        <v>5671794.8717948711</v>
      </c>
    </row>
    <row r="1621" spans="1:7" ht="17.25" x14ac:dyDescent="0.3">
      <c r="A1621" s="3" t="s">
        <v>334</v>
      </c>
      <c r="B1621" s="3" t="s">
        <v>41</v>
      </c>
      <c r="C1621" s="4" t="s">
        <v>342</v>
      </c>
      <c r="D1621" s="3" t="s">
        <v>61</v>
      </c>
      <c r="E1621" s="25">
        <f>0.08*7000</f>
        <v>560</v>
      </c>
      <c r="F1621" s="5">
        <f>IFERROR(VLOOKUP(D1621, Sheet2!$A:$C, 3, FALSE), 0)</f>
        <v>7363.6363636363631</v>
      </c>
      <c r="G1621" s="6">
        <f t="shared" si="27"/>
        <v>4123636.3636363633</v>
      </c>
    </row>
    <row r="1622" spans="1:7" ht="17.25" x14ac:dyDescent="0.3">
      <c r="A1622" s="3" t="s">
        <v>334</v>
      </c>
      <c r="B1622" s="23" t="s">
        <v>41</v>
      </c>
      <c r="C1622" s="4" t="s">
        <v>344</v>
      </c>
      <c r="D1622" s="4" t="s">
        <v>39</v>
      </c>
      <c r="E1622" s="26">
        <f>0.015*7000</f>
        <v>105</v>
      </c>
      <c r="F1622" s="5">
        <f>IFERROR(VLOOKUP(D1622, Sheet2!$A:$C, 3, FALSE), 0)</f>
        <v>3863.6363636363635</v>
      </c>
      <c r="G1622" s="6">
        <f t="shared" si="27"/>
        <v>405681.81818181818</v>
      </c>
    </row>
    <row r="1623" spans="1:7" ht="17.25" x14ac:dyDescent="0.3">
      <c r="A1623" s="3" t="s">
        <v>334</v>
      </c>
      <c r="B1623" s="3" t="s">
        <v>30</v>
      </c>
      <c r="C1623" s="4" t="s">
        <v>337</v>
      </c>
      <c r="D1623" s="11" t="s">
        <v>12</v>
      </c>
      <c r="E1623" s="25">
        <v>416</v>
      </c>
      <c r="F1623" s="5">
        <f>IFERROR(VLOOKUP(D1623, Sheet2!$A:$C, 3, FALSE), 0)</f>
        <v>26363.63636363636</v>
      </c>
      <c r="G1623" s="6">
        <f t="shared" si="27"/>
        <v>10967272.727272727</v>
      </c>
    </row>
    <row r="1624" spans="1:7" ht="17.25" x14ac:dyDescent="0.3">
      <c r="A1624" s="22" t="s">
        <v>334</v>
      </c>
      <c r="B1624" s="3" t="s">
        <v>30</v>
      </c>
      <c r="C1624" s="4" t="s">
        <v>344</v>
      </c>
      <c r="D1624" s="3" t="s">
        <v>44</v>
      </c>
      <c r="E1624" s="25">
        <v>260</v>
      </c>
      <c r="F1624" s="5">
        <f>IFERROR(VLOOKUP(D1624, Sheet2!$A:$C, 3, FALSE), 0)</f>
        <v>5909.090909090909</v>
      </c>
      <c r="G1624" s="6">
        <f t="shared" si="27"/>
        <v>1536363.6363636362</v>
      </c>
    </row>
    <row r="1625" spans="1:7" ht="17.25" x14ac:dyDescent="0.3">
      <c r="A1625" s="3" t="s">
        <v>334</v>
      </c>
      <c r="B1625" s="23" t="s">
        <v>33</v>
      </c>
      <c r="C1625" s="4" t="s">
        <v>337</v>
      </c>
      <c r="D1625" s="3" t="s">
        <v>12</v>
      </c>
      <c r="E1625" s="25">
        <f>0.16*4000/2</f>
        <v>320</v>
      </c>
      <c r="F1625" s="5">
        <f>IFERROR(VLOOKUP(D1625, Sheet2!$A:$C, 3, FALSE), 0)</f>
        <v>26363.63636363636</v>
      </c>
      <c r="G1625" s="6">
        <f t="shared" si="27"/>
        <v>8436363.6363636348</v>
      </c>
    </row>
    <row r="1626" spans="1:7" ht="17.25" x14ac:dyDescent="0.3">
      <c r="A1626" s="22" t="s">
        <v>334</v>
      </c>
      <c r="B1626" s="23" t="s">
        <v>33</v>
      </c>
      <c r="C1626" s="4" t="s">
        <v>344</v>
      </c>
      <c r="D1626" s="3" t="s">
        <v>44</v>
      </c>
      <c r="E1626" s="25">
        <f>0.05*4000</f>
        <v>200</v>
      </c>
      <c r="F1626" s="5">
        <f>IFERROR(VLOOKUP(D1626, Sheet2!$A:$C, 3, FALSE), 0)</f>
        <v>5909.090909090909</v>
      </c>
      <c r="G1626" s="6">
        <f t="shared" si="27"/>
        <v>1181818.1818181819</v>
      </c>
    </row>
    <row r="1627" spans="1:7" ht="17.25" x14ac:dyDescent="0.3">
      <c r="A1627" s="3" t="s">
        <v>334</v>
      </c>
      <c r="B1627" s="3" t="s">
        <v>51</v>
      </c>
      <c r="C1627" s="4" t="s">
        <v>344</v>
      </c>
      <c r="D1627" s="9" t="s">
        <v>53</v>
      </c>
      <c r="E1627" s="26">
        <v>580</v>
      </c>
      <c r="F1627" s="5">
        <f>IFERROR(VLOOKUP(D1627, Sheet2!$A:$C, 3, FALSE), 0)</f>
        <v>5818.181818181818</v>
      </c>
      <c r="G1627" s="6">
        <f t="shared" si="27"/>
        <v>3374545.4545454546</v>
      </c>
    </row>
    <row r="1628" spans="1:7" ht="17.25" x14ac:dyDescent="0.3">
      <c r="A1628" s="22" t="s">
        <v>335</v>
      </c>
      <c r="B1628" s="23" t="s">
        <v>93</v>
      </c>
      <c r="C1628" s="4" t="s">
        <v>215</v>
      </c>
      <c r="D1628" s="3" t="s">
        <v>264</v>
      </c>
      <c r="E1628" s="26">
        <v>1020</v>
      </c>
      <c r="F1628" s="5">
        <f>IFERROR(VLOOKUP(D1628, Sheet2!$A:$C, 3, FALSE), 0)</f>
        <v>4454.545454545454</v>
      </c>
      <c r="G1628" s="6">
        <f t="shared" si="27"/>
        <v>4543636.3636363633</v>
      </c>
    </row>
    <row r="1629" spans="1:7" ht="17.25" x14ac:dyDescent="0.3">
      <c r="A1629" s="22" t="s">
        <v>335</v>
      </c>
      <c r="B1629" s="23" t="s">
        <v>93</v>
      </c>
      <c r="C1629" s="4" t="s">
        <v>344</v>
      </c>
      <c r="D1629" s="3" t="s">
        <v>53</v>
      </c>
      <c r="E1629" s="25">
        <f>800/0.8</f>
        <v>1000</v>
      </c>
      <c r="F1629" s="5">
        <f>IFERROR(VLOOKUP(D1629, Sheet2!$A:$C, 3, FALSE), 0)</f>
        <v>5818.181818181818</v>
      </c>
      <c r="G1629" s="6">
        <f t="shared" si="27"/>
        <v>5818181.8181818184</v>
      </c>
    </row>
    <row r="1630" spans="1:7" ht="17.25" x14ac:dyDescent="0.3">
      <c r="A1630" s="22" t="s">
        <v>335</v>
      </c>
      <c r="B1630" s="3" t="s">
        <v>24</v>
      </c>
      <c r="C1630" s="4" t="s">
        <v>337</v>
      </c>
      <c r="D1630" s="3" t="s">
        <v>9</v>
      </c>
      <c r="E1630" s="25">
        <v>1084</v>
      </c>
      <c r="F1630" s="5">
        <f>IFERROR(VLOOKUP(D1630, Sheet2!$A:$C, 3, FALSE), 0)</f>
        <v>18636.363636363636</v>
      </c>
      <c r="G1630" s="6">
        <f t="shared" si="27"/>
        <v>20201818.18181818</v>
      </c>
    </row>
    <row r="1631" spans="1:7" ht="17.25" x14ac:dyDescent="0.3">
      <c r="A1631" s="22" t="s">
        <v>335</v>
      </c>
      <c r="B1631" s="3" t="s">
        <v>24</v>
      </c>
      <c r="C1631" s="4" t="s">
        <v>338</v>
      </c>
      <c r="D1631" s="3" t="s">
        <v>73</v>
      </c>
      <c r="E1631" s="25">
        <f>216/0.78</f>
        <v>276.92307692307691</v>
      </c>
      <c r="F1631" s="5">
        <f>IFERROR(VLOOKUP(D1631, Sheet2!$A:$C, 3, FALSE), 0)</f>
        <v>7899.9999999999991</v>
      </c>
      <c r="G1631" s="6">
        <f t="shared" si="27"/>
        <v>2187692.3076923075</v>
      </c>
    </row>
    <row r="1632" spans="1:7" ht="17.25" x14ac:dyDescent="0.3">
      <c r="A1632" s="22" t="s">
        <v>335</v>
      </c>
      <c r="B1632" s="3" t="s">
        <v>23</v>
      </c>
      <c r="C1632" s="4" t="s">
        <v>215</v>
      </c>
      <c r="D1632" s="3" t="s">
        <v>264</v>
      </c>
      <c r="E1632" s="25">
        <f>0.12*4000</f>
        <v>480</v>
      </c>
      <c r="F1632" s="5">
        <f>IFERROR(VLOOKUP(D1632, Sheet2!$A:$C, 3, FALSE), 0)</f>
        <v>4454.545454545454</v>
      </c>
      <c r="G1632" s="6">
        <f t="shared" si="27"/>
        <v>2138181.8181818179</v>
      </c>
    </row>
    <row r="1633" spans="1:7" ht="17.25" x14ac:dyDescent="0.3">
      <c r="A1633" s="22" t="s">
        <v>335</v>
      </c>
      <c r="B1633" s="3" t="s">
        <v>23</v>
      </c>
      <c r="C1633" s="4" t="s">
        <v>215</v>
      </c>
      <c r="D1633" s="3" t="s">
        <v>264</v>
      </c>
      <c r="E1633" s="25">
        <f>0.12*4000</f>
        <v>480</v>
      </c>
      <c r="F1633" s="5">
        <f>IFERROR(VLOOKUP(D1633, Sheet2!$A:$C, 3, FALSE), 0)</f>
        <v>4454.545454545454</v>
      </c>
      <c r="G1633" s="6">
        <f t="shared" si="27"/>
        <v>2138181.8181818179</v>
      </c>
    </row>
    <row r="1634" spans="1:7" ht="17.25" x14ac:dyDescent="0.3">
      <c r="A1634" s="3" t="s">
        <v>335</v>
      </c>
      <c r="B1634" s="3" t="s">
        <v>75</v>
      </c>
      <c r="C1634" s="4" t="s">
        <v>215</v>
      </c>
      <c r="D1634" s="3" t="s">
        <v>264</v>
      </c>
      <c r="E1634" s="25">
        <f>0.06*7000</f>
        <v>420</v>
      </c>
      <c r="F1634" s="5">
        <f>IFERROR(VLOOKUP(D1634, Sheet2!$A:$C, 3, FALSE), 0)</f>
        <v>4454.545454545454</v>
      </c>
      <c r="G1634" s="6">
        <f t="shared" si="27"/>
        <v>1870909.0909090906</v>
      </c>
    </row>
    <row r="1635" spans="1:7" ht="17.25" x14ac:dyDescent="0.3">
      <c r="A1635" s="3" t="s">
        <v>335</v>
      </c>
      <c r="B1635" s="3" t="s">
        <v>60</v>
      </c>
      <c r="C1635" s="4" t="s">
        <v>342</v>
      </c>
      <c r="D1635" s="3" t="s">
        <v>35</v>
      </c>
      <c r="E1635" s="25">
        <v>130</v>
      </c>
      <c r="F1635" s="5">
        <f>IFERROR(VLOOKUP(D1635, Sheet2!$A:$C, 3, FALSE), 0)</f>
        <v>8363.6363636363621</v>
      </c>
      <c r="G1635" s="6">
        <f t="shared" si="27"/>
        <v>1087272.7272727271</v>
      </c>
    </row>
    <row r="1636" spans="1:7" ht="17.25" x14ac:dyDescent="0.3">
      <c r="A1636" s="22" t="s">
        <v>336</v>
      </c>
      <c r="B1636" s="23" t="s">
        <v>66</v>
      </c>
      <c r="C1636" s="4" t="s">
        <v>215</v>
      </c>
      <c r="D1636" s="3" t="s">
        <v>143</v>
      </c>
      <c r="E1636" s="25">
        <f>1950/3</f>
        <v>650</v>
      </c>
      <c r="F1636" s="5">
        <f>IFERROR(VLOOKUP(D1636, Sheet2!$A:$C, 3, FALSE), 0)</f>
        <v>15454.545454545454</v>
      </c>
      <c r="G1636" s="6">
        <f t="shared" si="27"/>
        <v>10045454.545454545</v>
      </c>
    </row>
    <row r="1637" spans="1:7" ht="17.25" x14ac:dyDescent="0.3">
      <c r="A1637" s="22" t="s">
        <v>336</v>
      </c>
      <c r="B1637" s="3" t="s">
        <v>69</v>
      </c>
      <c r="C1637" s="4" t="s">
        <v>341</v>
      </c>
      <c r="D1637" s="4" t="s">
        <v>68</v>
      </c>
      <c r="E1637" s="25">
        <f>0.03*10000/3</f>
        <v>100</v>
      </c>
      <c r="F1637" s="5">
        <f>IFERROR(VLOOKUP(D1637, Sheet2!$A:$C, 3, FALSE), 0)</f>
        <v>13400</v>
      </c>
      <c r="G1637" s="6">
        <f t="shared" si="27"/>
        <v>1340000</v>
      </c>
    </row>
    <row r="1638" spans="1:7" ht="17.25" x14ac:dyDescent="0.3">
      <c r="A1638" s="3" t="s">
        <v>336</v>
      </c>
      <c r="B1638" s="3" t="s">
        <v>25</v>
      </c>
      <c r="C1638" s="4" t="s">
        <v>337</v>
      </c>
      <c r="D1638" s="11" t="s">
        <v>70</v>
      </c>
      <c r="E1638" s="25">
        <f>0.14*9300</f>
        <v>1302.0000000000002</v>
      </c>
      <c r="F1638" s="5">
        <f>IFERROR(VLOOKUP(D1638, Sheet2!$A:$C, 3, FALSE), 0)</f>
        <v>18636.363636363636</v>
      </c>
      <c r="G1638" s="6">
        <f t="shared" si="27"/>
        <v>24264545.454545457</v>
      </c>
    </row>
    <row r="1639" spans="1:7" ht="17.25" x14ac:dyDescent="0.3">
      <c r="A1639" s="3" t="s">
        <v>336</v>
      </c>
      <c r="B1639" s="3" t="s">
        <v>150</v>
      </c>
      <c r="C1639" s="4" t="s">
        <v>344</v>
      </c>
      <c r="D1639" s="3" t="s">
        <v>53</v>
      </c>
      <c r="E1639" s="25">
        <f>480/0.8</f>
        <v>600</v>
      </c>
      <c r="F1639" s="5">
        <f>IFERROR(VLOOKUP(D1639, Sheet2!$A:$C, 3, FALSE), 0)</f>
        <v>5818.181818181818</v>
      </c>
      <c r="G1639" s="6">
        <f t="shared" si="27"/>
        <v>3490909.0909090908</v>
      </c>
    </row>
    <row r="1640" spans="1:7" ht="17.25" x14ac:dyDescent="0.3">
      <c r="A1640" s="3" t="s">
        <v>336</v>
      </c>
      <c r="B1640" s="3" t="s">
        <v>150</v>
      </c>
      <c r="C1640" s="4" t="s">
        <v>344</v>
      </c>
      <c r="D1640" s="3" t="s">
        <v>39</v>
      </c>
      <c r="E1640" s="25">
        <v>120</v>
      </c>
      <c r="F1640" s="5">
        <f>IFERROR(VLOOKUP(D1640, Sheet2!$A:$C, 3, FALSE), 0)</f>
        <v>3863.6363636363635</v>
      </c>
      <c r="G1640" s="6">
        <f t="shared" si="27"/>
        <v>463636.36363636365</v>
      </c>
    </row>
    <row r="1641" spans="1:7" ht="17.25" x14ac:dyDescent="0.3">
      <c r="A1641" s="22" t="s">
        <v>336</v>
      </c>
      <c r="B1641" s="3" t="s">
        <v>23</v>
      </c>
      <c r="C1641" s="4" t="s">
        <v>215</v>
      </c>
      <c r="D1641" s="3" t="s">
        <v>264</v>
      </c>
      <c r="E1641" s="25">
        <f>0.12*4000</f>
        <v>480</v>
      </c>
      <c r="F1641" s="5">
        <f>IFERROR(VLOOKUP(D1641, Sheet2!$A:$C, 3, FALSE), 0)</f>
        <v>4454.545454545454</v>
      </c>
      <c r="G1641" s="6">
        <f t="shared" si="27"/>
        <v>2138181.8181818179</v>
      </c>
    </row>
    <row r="1642" spans="1:7" ht="17.25" x14ac:dyDescent="0.3">
      <c r="A1642" s="3" t="s">
        <v>336</v>
      </c>
      <c r="B1642" s="3" t="s">
        <v>102</v>
      </c>
      <c r="C1642" s="4" t="s">
        <v>215</v>
      </c>
      <c r="D1642" s="3" t="s">
        <v>264</v>
      </c>
      <c r="E1642" s="25">
        <f>0.12*3000</f>
        <v>360</v>
      </c>
      <c r="F1642" s="5">
        <f>IFERROR(VLOOKUP(D1642, Sheet2!$A:$C, 3, FALSE), 0)</f>
        <v>4454.545454545454</v>
      </c>
      <c r="G1642" s="6">
        <f t="shared" si="27"/>
        <v>1603636.3636363635</v>
      </c>
    </row>
    <row r="1643" spans="1:7" ht="17.25" x14ac:dyDescent="0.3">
      <c r="A1643" s="22" t="s">
        <v>336</v>
      </c>
      <c r="B1643" s="3" t="s">
        <v>102</v>
      </c>
      <c r="C1643" s="4" t="s">
        <v>344</v>
      </c>
      <c r="D1643" s="3" t="s">
        <v>53</v>
      </c>
      <c r="E1643" s="25">
        <f>0.08*3000/0.8</f>
        <v>300</v>
      </c>
      <c r="F1643" s="5">
        <f>IFERROR(VLOOKUP(D1643, Sheet2!$A:$C, 3, FALSE), 0)</f>
        <v>5818.181818181818</v>
      </c>
      <c r="G1643" s="6">
        <f t="shared" ref="G1643:G1648" si="28">E1643*F1643</f>
        <v>1745454.5454545454</v>
      </c>
    </row>
    <row r="1644" spans="1:7" ht="17.25" x14ac:dyDescent="0.3">
      <c r="A1644" s="22" t="s">
        <v>336</v>
      </c>
      <c r="B1644" s="3" t="s">
        <v>16</v>
      </c>
      <c r="C1644" s="4" t="s">
        <v>342</v>
      </c>
      <c r="D1644" s="3" t="s">
        <v>35</v>
      </c>
      <c r="E1644" s="25">
        <f>0.05*13000</f>
        <v>650</v>
      </c>
      <c r="F1644" s="5">
        <f>IFERROR(VLOOKUP(D1644, Sheet2!$A:$C, 3, FALSE), 0)</f>
        <v>8363.6363636363621</v>
      </c>
      <c r="G1644" s="6">
        <f t="shared" si="28"/>
        <v>5436363.6363636358</v>
      </c>
    </row>
    <row r="1645" spans="1:7" ht="17.25" x14ac:dyDescent="0.3">
      <c r="A1645" s="3" t="s">
        <v>336</v>
      </c>
      <c r="B1645" s="3" t="s">
        <v>11</v>
      </c>
      <c r="C1645" s="4" t="s">
        <v>344</v>
      </c>
      <c r="D1645" s="11" t="s">
        <v>120</v>
      </c>
      <c r="E1645" s="25">
        <f>0.055*9000</f>
        <v>495</v>
      </c>
      <c r="F1645" s="5">
        <f>IFERROR(VLOOKUP(D1645, Sheet2!$A:$C, 3, FALSE), 0)</f>
        <v>6272.7272727272721</v>
      </c>
      <c r="G1645" s="6">
        <f t="shared" si="28"/>
        <v>3104999.9999999995</v>
      </c>
    </row>
    <row r="1646" spans="1:7" ht="17.25" x14ac:dyDescent="0.3">
      <c r="A1646" s="22" t="s">
        <v>336</v>
      </c>
      <c r="B1646" s="23" t="s">
        <v>33</v>
      </c>
      <c r="C1646" s="4" t="s">
        <v>341</v>
      </c>
      <c r="D1646" s="4" t="s">
        <v>110</v>
      </c>
      <c r="E1646" s="25">
        <f>(0.01*4000+0.01*4000)/0.5</f>
        <v>160</v>
      </c>
      <c r="F1646" s="5">
        <f>IFERROR(VLOOKUP(D1646, Sheet2!$A:$C, 3, FALSE), 0)</f>
        <v>2500</v>
      </c>
      <c r="G1646" s="6">
        <f t="shared" si="28"/>
        <v>400000</v>
      </c>
    </row>
    <row r="1647" spans="1:7" ht="17.25" x14ac:dyDescent="0.3">
      <c r="A1647" s="3" t="s">
        <v>336</v>
      </c>
      <c r="B1647" s="23" t="s">
        <v>33</v>
      </c>
      <c r="C1647" s="4" t="s">
        <v>341</v>
      </c>
      <c r="D1647" s="4" t="s">
        <v>68</v>
      </c>
      <c r="E1647" s="25">
        <f>0.115*4000/3</f>
        <v>153.33333333333334</v>
      </c>
      <c r="F1647" s="5">
        <f>IFERROR(VLOOKUP(D1647, Sheet2!$A:$C, 3, FALSE), 0)</f>
        <v>13400</v>
      </c>
      <c r="G1647" s="6">
        <f t="shared" si="28"/>
        <v>2054666.6666666667</v>
      </c>
    </row>
    <row r="1648" spans="1:7" ht="17.25" x14ac:dyDescent="0.3">
      <c r="A1648" s="22" t="s">
        <v>336</v>
      </c>
      <c r="B1648" s="3" t="s">
        <v>95</v>
      </c>
      <c r="C1648" s="4" t="s">
        <v>344</v>
      </c>
      <c r="D1648" s="3" t="s">
        <v>53</v>
      </c>
      <c r="E1648" s="25">
        <f>480/0.8</f>
        <v>600</v>
      </c>
      <c r="F1648" s="5">
        <f>IFERROR(VLOOKUP(D1648, Sheet2!$A:$C, 3, FALSE), 0)</f>
        <v>5818.181818181818</v>
      </c>
      <c r="G1648" s="6">
        <f t="shared" si="28"/>
        <v>3490909.0909090908</v>
      </c>
    </row>
  </sheetData>
  <autoFilter ref="A1:G1648" xr:uid="{551472A1-8D82-4275-9821-D600A4328DBF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6.5" x14ac:dyDescent="0.3"/>
  <cols>
    <col min="1" max="1" width="22.875" bestFit="1" customWidth="1"/>
    <col min="2" max="2" width="11.875" bestFit="1" customWidth="1"/>
  </cols>
  <sheetData>
    <row r="1" spans="1:3" x14ac:dyDescent="0.3">
      <c r="A1" s="18" t="s">
        <v>193</v>
      </c>
      <c r="B1" s="18" t="s">
        <v>193</v>
      </c>
      <c r="C1" s="17" t="s">
        <v>193</v>
      </c>
    </row>
    <row r="2" spans="1:3" ht="17.25" x14ac:dyDescent="0.3">
      <c r="A2" s="12" t="s">
        <v>194</v>
      </c>
      <c r="B2" s="20">
        <v>6500</v>
      </c>
      <c r="C2" s="13">
        <f>B2/1.1</f>
        <v>5909.090909090909</v>
      </c>
    </row>
    <row r="3" spans="1:3" ht="17.25" x14ac:dyDescent="0.3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7.25" x14ac:dyDescent="0.3">
      <c r="A4" s="12" t="s">
        <v>163</v>
      </c>
      <c r="B4" s="20">
        <v>6490</v>
      </c>
      <c r="C4" s="13">
        <f t="shared" si="0"/>
        <v>5899.9999999999991</v>
      </c>
    </row>
    <row r="5" spans="1:3" ht="17.25" x14ac:dyDescent="0.3">
      <c r="A5" s="12" t="s">
        <v>40</v>
      </c>
      <c r="B5" s="20">
        <v>4800</v>
      </c>
      <c r="C5" s="13">
        <f t="shared" si="0"/>
        <v>4363.6363636363631</v>
      </c>
    </row>
    <row r="6" spans="1:3" ht="17.25" x14ac:dyDescent="0.3">
      <c r="A6" s="12" t="s">
        <v>196</v>
      </c>
      <c r="B6" s="20">
        <v>6400</v>
      </c>
      <c r="C6" s="13">
        <f t="shared" si="0"/>
        <v>5818.181818181818</v>
      </c>
    </row>
    <row r="7" spans="1:3" ht="17.25" x14ac:dyDescent="0.3">
      <c r="A7" s="12" t="s">
        <v>197</v>
      </c>
      <c r="B7" s="20">
        <v>4800</v>
      </c>
      <c r="C7" s="13">
        <f t="shared" si="0"/>
        <v>4363.6363636363631</v>
      </c>
    </row>
    <row r="8" spans="1:3" ht="17.25" x14ac:dyDescent="0.3">
      <c r="A8" s="12" t="s">
        <v>198</v>
      </c>
      <c r="B8" s="20">
        <v>6500</v>
      </c>
      <c r="C8" s="13">
        <f t="shared" si="0"/>
        <v>5909.090909090909</v>
      </c>
    </row>
    <row r="9" spans="1:3" ht="17.25" x14ac:dyDescent="0.3">
      <c r="A9" s="12" t="s">
        <v>199</v>
      </c>
      <c r="B9" s="20">
        <v>3800</v>
      </c>
      <c r="C9" s="13">
        <f t="shared" si="0"/>
        <v>3454.545454545454</v>
      </c>
    </row>
    <row r="10" spans="1:3" ht="17.25" x14ac:dyDescent="0.3">
      <c r="A10" s="12" t="s">
        <v>200</v>
      </c>
      <c r="B10" s="20">
        <v>5150</v>
      </c>
      <c r="C10" s="13">
        <f t="shared" si="0"/>
        <v>4681.8181818181811</v>
      </c>
    </row>
    <row r="11" spans="1:3" ht="17.25" x14ac:dyDescent="0.3">
      <c r="A11" s="12" t="s">
        <v>201</v>
      </c>
      <c r="B11" s="20">
        <v>5150</v>
      </c>
      <c r="C11" s="13">
        <f t="shared" si="0"/>
        <v>4681.8181818181811</v>
      </c>
    </row>
    <row r="12" spans="1:3" ht="17.25" x14ac:dyDescent="0.3">
      <c r="A12" s="14" t="s">
        <v>139</v>
      </c>
      <c r="B12" s="20">
        <v>4800</v>
      </c>
      <c r="C12" s="13">
        <f t="shared" si="0"/>
        <v>4363.6363636363631</v>
      </c>
    </row>
    <row r="13" spans="1:3" ht="17.25" x14ac:dyDescent="0.3">
      <c r="A13" s="12" t="s">
        <v>202</v>
      </c>
      <c r="B13" s="20">
        <v>21120</v>
      </c>
      <c r="C13" s="13">
        <f t="shared" si="0"/>
        <v>19200</v>
      </c>
    </row>
    <row r="14" spans="1:3" ht="17.25" x14ac:dyDescent="0.3">
      <c r="A14" s="12" t="s">
        <v>26</v>
      </c>
      <c r="B14" s="20">
        <v>23100</v>
      </c>
      <c r="C14" s="13">
        <f t="shared" si="0"/>
        <v>21000</v>
      </c>
    </row>
    <row r="15" spans="1:3" ht="17.25" x14ac:dyDescent="0.3">
      <c r="A15" s="12" t="s">
        <v>79</v>
      </c>
      <c r="B15" s="20">
        <v>23500</v>
      </c>
      <c r="C15" s="13">
        <f t="shared" si="0"/>
        <v>21363.63636363636</v>
      </c>
    </row>
    <row r="16" spans="1:3" ht="17.25" x14ac:dyDescent="0.3">
      <c r="A16" s="12" t="s">
        <v>203</v>
      </c>
      <c r="B16" s="20">
        <v>34320</v>
      </c>
      <c r="C16" s="13">
        <f t="shared" si="0"/>
        <v>31199.999999999996</v>
      </c>
    </row>
    <row r="17" spans="1:3" ht="17.25" x14ac:dyDescent="0.3">
      <c r="A17" s="12" t="s">
        <v>221</v>
      </c>
      <c r="B17" s="20">
        <v>41690</v>
      </c>
      <c r="C17" s="13">
        <f t="shared" si="0"/>
        <v>37900</v>
      </c>
    </row>
    <row r="18" spans="1:3" ht="17.25" x14ac:dyDescent="0.3">
      <c r="A18" s="12" t="s">
        <v>204</v>
      </c>
      <c r="B18" s="20">
        <v>49500</v>
      </c>
      <c r="C18" s="13">
        <f t="shared" si="0"/>
        <v>45000</v>
      </c>
    </row>
    <row r="19" spans="1:3" ht="17.25" x14ac:dyDescent="0.3">
      <c r="A19" s="12" t="s">
        <v>205</v>
      </c>
      <c r="B19" s="20">
        <v>11500</v>
      </c>
      <c r="C19" s="13">
        <f t="shared" si="0"/>
        <v>10454.545454545454</v>
      </c>
    </row>
    <row r="20" spans="1:3" ht="17.25" x14ac:dyDescent="0.3">
      <c r="A20" s="12" t="s">
        <v>206</v>
      </c>
      <c r="B20" s="20">
        <v>15400</v>
      </c>
      <c r="C20" s="13">
        <f t="shared" si="0"/>
        <v>13999.999999999998</v>
      </c>
    </row>
    <row r="21" spans="1:3" ht="17.25" x14ac:dyDescent="0.3">
      <c r="A21" s="12" t="s">
        <v>207</v>
      </c>
      <c r="B21" s="20">
        <v>15400</v>
      </c>
      <c r="C21" s="13">
        <f t="shared" si="0"/>
        <v>13999.999999999998</v>
      </c>
    </row>
    <row r="22" spans="1:3" ht="17.25" x14ac:dyDescent="0.3">
      <c r="A22" s="12" t="s">
        <v>208</v>
      </c>
      <c r="B22" s="20">
        <v>7480</v>
      </c>
      <c r="C22" s="13">
        <f t="shared" si="0"/>
        <v>6799.9999999999991</v>
      </c>
    </row>
    <row r="23" spans="1:3" ht="17.25" x14ac:dyDescent="0.3">
      <c r="A23" s="12" t="s">
        <v>222</v>
      </c>
      <c r="B23" s="20">
        <v>1500</v>
      </c>
      <c r="C23" s="13">
        <f t="shared" si="0"/>
        <v>1363.6363636363635</v>
      </c>
    </row>
    <row r="24" spans="1:3" ht="17.25" x14ac:dyDescent="0.3">
      <c r="A24" s="12" t="s">
        <v>209</v>
      </c>
      <c r="B24" s="20">
        <v>9900</v>
      </c>
      <c r="C24" s="13">
        <f t="shared" si="0"/>
        <v>9000</v>
      </c>
    </row>
    <row r="25" spans="1:3" ht="17.25" x14ac:dyDescent="0.3">
      <c r="A25" s="12" t="s">
        <v>223</v>
      </c>
      <c r="B25" s="20">
        <v>9000</v>
      </c>
      <c r="C25" s="13">
        <f t="shared" si="0"/>
        <v>8181.8181818181811</v>
      </c>
    </row>
    <row r="26" spans="1:3" ht="17.25" x14ac:dyDescent="0.3">
      <c r="A26" s="12" t="s">
        <v>210</v>
      </c>
      <c r="B26" s="20">
        <v>12100</v>
      </c>
      <c r="C26" s="13">
        <f t="shared" si="0"/>
        <v>11000</v>
      </c>
    </row>
    <row r="27" spans="1:3" ht="17.25" x14ac:dyDescent="0.3">
      <c r="A27" s="12" t="s">
        <v>224</v>
      </c>
      <c r="B27" s="20">
        <v>10100</v>
      </c>
      <c r="C27" s="13">
        <f t="shared" si="0"/>
        <v>9181.818181818182</v>
      </c>
    </row>
    <row r="28" spans="1:3" ht="17.25" x14ac:dyDescent="0.3">
      <c r="A28" s="12" t="s">
        <v>211</v>
      </c>
      <c r="B28" s="20">
        <v>11550</v>
      </c>
      <c r="C28" s="13">
        <f t="shared" si="0"/>
        <v>10500</v>
      </c>
    </row>
    <row r="29" spans="1:3" ht="17.25" x14ac:dyDescent="0.3">
      <c r="A29" s="12" t="s">
        <v>225</v>
      </c>
      <c r="B29" s="20">
        <v>9700</v>
      </c>
      <c r="C29" s="13">
        <f t="shared" si="0"/>
        <v>8818.181818181818</v>
      </c>
    </row>
    <row r="30" spans="1:3" ht="17.25" x14ac:dyDescent="0.3">
      <c r="A30" s="12" t="s">
        <v>212</v>
      </c>
      <c r="B30" s="20">
        <v>11550</v>
      </c>
      <c r="C30" s="13">
        <f t="shared" si="0"/>
        <v>10500</v>
      </c>
    </row>
    <row r="31" spans="1:3" ht="17.25" x14ac:dyDescent="0.3">
      <c r="A31" s="12" t="s">
        <v>226</v>
      </c>
      <c r="B31" s="20">
        <v>9700</v>
      </c>
      <c r="C31" s="13">
        <f t="shared" si="0"/>
        <v>8818.181818181818</v>
      </c>
    </row>
    <row r="32" spans="1:3" ht="17.25" x14ac:dyDescent="0.3">
      <c r="A32" s="12" t="s">
        <v>213</v>
      </c>
      <c r="B32" s="20">
        <v>11550</v>
      </c>
      <c r="C32" s="13">
        <f t="shared" si="0"/>
        <v>10500</v>
      </c>
    </row>
    <row r="33" spans="1:3" ht="17.25" x14ac:dyDescent="0.3">
      <c r="A33" s="12" t="s">
        <v>227</v>
      </c>
      <c r="B33" s="20">
        <v>9700</v>
      </c>
      <c r="C33" s="13">
        <f t="shared" si="0"/>
        <v>8818.181818181818</v>
      </c>
    </row>
    <row r="34" spans="1:3" ht="17.25" x14ac:dyDescent="0.3">
      <c r="A34" s="12" t="s">
        <v>214</v>
      </c>
      <c r="B34" s="20">
        <v>14300</v>
      </c>
      <c r="C34" s="13">
        <f t="shared" si="0"/>
        <v>12999.999999999998</v>
      </c>
    </row>
    <row r="35" spans="1:3" ht="17.25" x14ac:dyDescent="0.3">
      <c r="A35" s="12" t="s">
        <v>228</v>
      </c>
      <c r="B35" s="20">
        <v>11200</v>
      </c>
      <c r="C35" s="13">
        <f t="shared" si="0"/>
        <v>10181.81818181818</v>
      </c>
    </row>
    <row r="36" spans="1:3" ht="17.25" x14ac:dyDescent="0.3">
      <c r="A36" s="12" t="s">
        <v>6</v>
      </c>
      <c r="B36" s="20">
        <v>16500</v>
      </c>
      <c r="C36" s="13">
        <f t="shared" si="0"/>
        <v>14999.999999999998</v>
      </c>
    </row>
    <row r="37" spans="1:3" ht="17.25" x14ac:dyDescent="0.3">
      <c r="A37" s="12" t="s">
        <v>42</v>
      </c>
      <c r="B37" s="20">
        <v>4400</v>
      </c>
      <c r="C37" s="13">
        <f t="shared" si="0"/>
        <v>3999.9999999999995</v>
      </c>
    </row>
    <row r="38" spans="1:3" ht="17.25" x14ac:dyDescent="0.3">
      <c r="A38" s="12" t="s">
        <v>35</v>
      </c>
      <c r="B38" s="20">
        <v>9200</v>
      </c>
      <c r="C38" s="13">
        <f t="shared" si="0"/>
        <v>8363.6363636363621</v>
      </c>
    </row>
    <row r="39" spans="1:3" ht="17.25" x14ac:dyDescent="0.3">
      <c r="A39" s="12" t="s">
        <v>20</v>
      </c>
      <c r="B39" s="20">
        <v>7700</v>
      </c>
      <c r="C39" s="13">
        <f t="shared" si="0"/>
        <v>6999.9999999999991</v>
      </c>
    </row>
    <row r="40" spans="1:3" ht="17.25" x14ac:dyDescent="0.3">
      <c r="A40" s="12" t="s">
        <v>61</v>
      </c>
      <c r="B40" s="20">
        <v>8100</v>
      </c>
      <c r="C40" s="13">
        <f t="shared" si="0"/>
        <v>7363.6363636363631</v>
      </c>
    </row>
    <row r="41" spans="1:3" ht="17.25" x14ac:dyDescent="0.3">
      <c r="A41" s="12" t="s">
        <v>22</v>
      </c>
      <c r="B41" s="20">
        <v>6600</v>
      </c>
      <c r="C41" s="13">
        <f t="shared" si="0"/>
        <v>5999.9999999999991</v>
      </c>
    </row>
    <row r="42" spans="1:3" ht="17.25" x14ac:dyDescent="0.3">
      <c r="A42" s="12" t="s">
        <v>52</v>
      </c>
      <c r="B42" s="20">
        <v>6600</v>
      </c>
      <c r="C42" s="13">
        <f t="shared" si="0"/>
        <v>5999.9999999999991</v>
      </c>
    </row>
    <row r="43" spans="1:3" ht="17.25" x14ac:dyDescent="0.3">
      <c r="A43" s="12" t="s">
        <v>55</v>
      </c>
      <c r="B43" s="20">
        <v>16390</v>
      </c>
      <c r="C43" s="13">
        <f t="shared" si="0"/>
        <v>14899.999999999998</v>
      </c>
    </row>
    <row r="44" spans="1:3" ht="17.25" x14ac:dyDescent="0.3">
      <c r="A44" s="12" t="s">
        <v>78</v>
      </c>
      <c r="B44" s="20">
        <v>16500</v>
      </c>
      <c r="C44" s="13">
        <f t="shared" si="0"/>
        <v>14999.999999999998</v>
      </c>
    </row>
    <row r="45" spans="1:3" ht="17.25" x14ac:dyDescent="0.3">
      <c r="A45" s="12" t="s">
        <v>229</v>
      </c>
      <c r="B45" s="20">
        <v>16050</v>
      </c>
      <c r="C45" s="13">
        <f t="shared" si="0"/>
        <v>14590.90909090909</v>
      </c>
    </row>
    <row r="46" spans="1:3" ht="17.25" x14ac:dyDescent="0.3">
      <c r="A46" s="12" t="s">
        <v>65</v>
      </c>
      <c r="B46" s="20">
        <v>17820</v>
      </c>
      <c r="C46" s="13">
        <f t="shared" si="0"/>
        <v>16199.999999999998</v>
      </c>
    </row>
    <row r="47" spans="1:3" ht="17.25" x14ac:dyDescent="0.3">
      <c r="A47" s="12" t="s">
        <v>80</v>
      </c>
      <c r="B47" s="20">
        <v>20100</v>
      </c>
      <c r="C47" s="13">
        <f t="shared" si="0"/>
        <v>18272.727272727272</v>
      </c>
    </row>
    <row r="48" spans="1:3" ht="17.25" x14ac:dyDescent="0.3">
      <c r="A48" s="12" t="s">
        <v>45</v>
      </c>
      <c r="B48" s="20">
        <v>12000</v>
      </c>
      <c r="C48" s="13">
        <f t="shared" si="0"/>
        <v>10909.090909090908</v>
      </c>
    </row>
    <row r="49" spans="1:3" ht="17.25" x14ac:dyDescent="0.3">
      <c r="A49" s="12" t="s">
        <v>15</v>
      </c>
      <c r="B49" s="20">
        <v>4250</v>
      </c>
      <c r="C49" s="13">
        <f t="shared" si="0"/>
        <v>3863.6363636363635</v>
      </c>
    </row>
    <row r="50" spans="1:3" ht="17.25" x14ac:dyDescent="0.3">
      <c r="A50" s="12" t="s">
        <v>39</v>
      </c>
      <c r="B50" s="20">
        <v>4250</v>
      </c>
      <c r="C50" s="13">
        <f t="shared" si="0"/>
        <v>3863.6363636363635</v>
      </c>
    </row>
    <row r="51" spans="1:3" ht="17.25" x14ac:dyDescent="0.3">
      <c r="A51" s="12" t="s">
        <v>230</v>
      </c>
      <c r="B51" s="20">
        <v>43000</v>
      </c>
      <c r="C51" s="13">
        <f t="shared" si="0"/>
        <v>39090.909090909088</v>
      </c>
    </row>
    <row r="52" spans="1:3" ht="17.25" x14ac:dyDescent="0.3">
      <c r="A52" s="12" t="s">
        <v>127</v>
      </c>
      <c r="B52" s="20">
        <v>49500</v>
      </c>
      <c r="C52" s="13">
        <f t="shared" si="0"/>
        <v>45000</v>
      </c>
    </row>
    <row r="53" spans="1:3" ht="17.25" x14ac:dyDescent="0.3">
      <c r="A53" s="12" t="s">
        <v>71</v>
      </c>
      <c r="B53" s="20">
        <v>67500</v>
      </c>
      <c r="C53" s="13">
        <f t="shared" si="0"/>
        <v>61363.63636363636</v>
      </c>
    </row>
    <row r="54" spans="1:3" ht="17.25" x14ac:dyDescent="0.3">
      <c r="A54" s="12" t="s">
        <v>231</v>
      </c>
      <c r="B54" s="20">
        <v>36000</v>
      </c>
      <c r="C54" s="13">
        <f t="shared" si="0"/>
        <v>32727.272727272724</v>
      </c>
    </row>
    <row r="55" spans="1:3" ht="17.25" x14ac:dyDescent="0.3">
      <c r="A55" s="12" t="s">
        <v>188</v>
      </c>
      <c r="B55" s="20">
        <v>35000</v>
      </c>
      <c r="C55" s="13">
        <f t="shared" si="0"/>
        <v>31818.181818181816</v>
      </c>
    </row>
    <row r="56" spans="1:3" ht="17.25" x14ac:dyDescent="0.3">
      <c r="A56" s="12" t="s">
        <v>144</v>
      </c>
      <c r="B56" s="20">
        <v>11300</v>
      </c>
      <c r="C56" s="13">
        <f t="shared" si="0"/>
        <v>10272.727272727272</v>
      </c>
    </row>
    <row r="57" spans="1:3" ht="17.25" x14ac:dyDescent="0.3">
      <c r="A57" s="12" t="s">
        <v>101</v>
      </c>
      <c r="B57" s="20">
        <v>19900</v>
      </c>
      <c r="C57" s="13">
        <f t="shared" si="0"/>
        <v>18090.909090909088</v>
      </c>
    </row>
    <row r="58" spans="1:3" ht="17.25" x14ac:dyDescent="0.3">
      <c r="A58" s="12" t="s">
        <v>13</v>
      </c>
      <c r="B58" s="20">
        <v>19900</v>
      </c>
      <c r="C58" s="13">
        <f t="shared" si="0"/>
        <v>18090.909090909088</v>
      </c>
    </row>
    <row r="59" spans="1:3" ht="17.25" x14ac:dyDescent="0.3">
      <c r="A59" s="12" t="s">
        <v>9</v>
      </c>
      <c r="B59" s="20">
        <v>20500</v>
      </c>
      <c r="C59" s="13">
        <f t="shared" si="0"/>
        <v>18636.363636363636</v>
      </c>
    </row>
    <row r="60" spans="1:3" ht="17.25" x14ac:dyDescent="0.3">
      <c r="A60" s="12" t="s">
        <v>70</v>
      </c>
      <c r="B60" s="20">
        <v>20500</v>
      </c>
      <c r="C60" s="13">
        <f t="shared" si="0"/>
        <v>18636.363636363636</v>
      </c>
    </row>
    <row r="61" spans="1:3" ht="17.25" x14ac:dyDescent="0.3">
      <c r="A61" s="12" t="s">
        <v>10</v>
      </c>
      <c r="B61" s="20">
        <v>22900</v>
      </c>
      <c r="C61" s="13">
        <f t="shared" si="0"/>
        <v>20818.181818181816</v>
      </c>
    </row>
    <row r="62" spans="1:3" ht="17.25" x14ac:dyDescent="0.3">
      <c r="A62" s="12" t="s">
        <v>97</v>
      </c>
      <c r="B62" s="20">
        <v>18900</v>
      </c>
      <c r="C62" s="13">
        <f t="shared" si="0"/>
        <v>17181.81818181818</v>
      </c>
    </row>
    <row r="63" spans="1:3" ht="17.25" x14ac:dyDescent="0.3">
      <c r="A63" s="12" t="s">
        <v>67</v>
      </c>
      <c r="B63" s="20">
        <v>11900</v>
      </c>
      <c r="C63" s="13">
        <f t="shared" si="0"/>
        <v>10818.181818181818</v>
      </c>
    </row>
    <row r="64" spans="1:3" ht="17.25" x14ac:dyDescent="0.3">
      <c r="A64" s="12" t="s">
        <v>125</v>
      </c>
      <c r="B64" s="20">
        <v>19900</v>
      </c>
      <c r="C64" s="13">
        <f t="shared" si="0"/>
        <v>18090.909090909088</v>
      </c>
    </row>
    <row r="65" spans="1:3" ht="17.25" x14ac:dyDescent="0.3">
      <c r="A65" s="12" t="s">
        <v>120</v>
      </c>
      <c r="B65" s="20">
        <v>6900</v>
      </c>
      <c r="C65" s="13">
        <f t="shared" si="0"/>
        <v>6272.7272727272721</v>
      </c>
    </row>
    <row r="66" spans="1:3" ht="17.25" x14ac:dyDescent="0.3">
      <c r="A66" s="15" t="s">
        <v>180</v>
      </c>
      <c r="B66" s="20">
        <v>18600</v>
      </c>
      <c r="C66" s="13">
        <f t="shared" si="0"/>
        <v>16909.090909090908</v>
      </c>
    </row>
    <row r="67" spans="1:3" ht="17.25" x14ac:dyDescent="0.3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7.25" x14ac:dyDescent="0.3">
      <c r="A68" s="12" t="s">
        <v>113</v>
      </c>
      <c r="B68" s="20">
        <v>22800</v>
      </c>
      <c r="C68" s="13">
        <f t="shared" si="1"/>
        <v>20727.272727272724</v>
      </c>
    </row>
    <row r="69" spans="1:3" ht="17.25" x14ac:dyDescent="0.3">
      <c r="A69" s="12" t="s">
        <v>128</v>
      </c>
      <c r="B69" s="20">
        <v>22800</v>
      </c>
      <c r="C69" s="13">
        <f t="shared" si="1"/>
        <v>20727.272727272724</v>
      </c>
    </row>
    <row r="70" spans="1:3" ht="17.25" x14ac:dyDescent="0.3">
      <c r="A70" s="12" t="s">
        <v>12</v>
      </c>
      <c r="B70" s="20">
        <v>29000</v>
      </c>
      <c r="C70" s="13">
        <f t="shared" si="1"/>
        <v>26363.63636363636</v>
      </c>
    </row>
    <row r="71" spans="1:3" ht="17.25" x14ac:dyDescent="0.3">
      <c r="A71" s="12" t="s">
        <v>232</v>
      </c>
      <c r="B71" s="20">
        <v>27000</v>
      </c>
      <c r="C71" s="13">
        <f t="shared" si="1"/>
        <v>24545.454545454544</v>
      </c>
    </row>
    <row r="72" spans="1:3" ht="17.25" x14ac:dyDescent="0.3">
      <c r="A72" s="12" t="s">
        <v>90</v>
      </c>
      <c r="B72" s="20">
        <v>15000</v>
      </c>
      <c r="C72" s="13">
        <f t="shared" si="1"/>
        <v>13636.363636363636</v>
      </c>
    </row>
    <row r="73" spans="1:3" ht="17.25" x14ac:dyDescent="0.3">
      <c r="A73" s="12" t="s">
        <v>122</v>
      </c>
      <c r="B73" s="20">
        <v>9000</v>
      </c>
      <c r="C73" s="13">
        <f t="shared" si="1"/>
        <v>8181.8181818181811</v>
      </c>
    </row>
    <row r="74" spans="1:3" ht="17.25" x14ac:dyDescent="0.3">
      <c r="A74" s="12" t="s">
        <v>233</v>
      </c>
      <c r="B74" s="20">
        <v>12000</v>
      </c>
      <c r="C74" s="13">
        <f t="shared" si="1"/>
        <v>10909.090909090908</v>
      </c>
    </row>
    <row r="75" spans="1:3" ht="17.25" x14ac:dyDescent="0.3">
      <c r="A75" s="12" t="s">
        <v>234</v>
      </c>
      <c r="B75" s="20">
        <v>12000</v>
      </c>
      <c r="C75" s="13">
        <f t="shared" si="1"/>
        <v>10909.090909090908</v>
      </c>
    </row>
    <row r="76" spans="1:3" ht="17.25" x14ac:dyDescent="0.3">
      <c r="A76" s="12" t="s">
        <v>186</v>
      </c>
      <c r="B76" s="20">
        <v>16000</v>
      </c>
      <c r="C76" s="13">
        <f t="shared" si="1"/>
        <v>14545.454545454544</v>
      </c>
    </row>
    <row r="77" spans="1:3" ht="17.25" x14ac:dyDescent="0.3">
      <c r="A77" s="12" t="s">
        <v>64</v>
      </c>
      <c r="B77" s="20">
        <v>16000</v>
      </c>
      <c r="C77" s="13">
        <f t="shared" si="1"/>
        <v>14545.454545454544</v>
      </c>
    </row>
    <row r="78" spans="1:3" ht="17.25" x14ac:dyDescent="0.3">
      <c r="A78" s="12" t="s">
        <v>49</v>
      </c>
      <c r="B78" s="20">
        <v>41800</v>
      </c>
      <c r="C78" s="13">
        <f t="shared" si="1"/>
        <v>38000</v>
      </c>
    </row>
    <row r="79" spans="1:3" ht="17.25" x14ac:dyDescent="0.3">
      <c r="A79" s="12" t="s">
        <v>84</v>
      </c>
      <c r="B79" s="20">
        <v>2300</v>
      </c>
      <c r="C79" s="13">
        <f t="shared" si="1"/>
        <v>2090.9090909090905</v>
      </c>
    </row>
    <row r="80" spans="1:3" ht="17.25" x14ac:dyDescent="0.3">
      <c r="A80" s="12" t="s">
        <v>117</v>
      </c>
      <c r="B80" s="20">
        <v>12500</v>
      </c>
      <c r="C80" s="13">
        <f t="shared" si="1"/>
        <v>11363.636363636362</v>
      </c>
    </row>
    <row r="81" spans="1:3" ht="17.25" x14ac:dyDescent="0.3">
      <c r="A81" s="12" t="s">
        <v>189</v>
      </c>
      <c r="B81" s="20">
        <v>15000</v>
      </c>
      <c r="C81" s="13">
        <f t="shared" si="1"/>
        <v>13636.363636363636</v>
      </c>
    </row>
    <row r="82" spans="1:3" ht="17.25" x14ac:dyDescent="0.3">
      <c r="A82" s="12" t="s">
        <v>108</v>
      </c>
      <c r="B82" s="20">
        <v>13500</v>
      </c>
      <c r="C82" s="13">
        <f t="shared" si="1"/>
        <v>12272.727272727272</v>
      </c>
    </row>
    <row r="83" spans="1:3" ht="17.25" x14ac:dyDescent="0.3">
      <c r="A83" s="12" t="s">
        <v>76</v>
      </c>
      <c r="B83" s="20">
        <v>9500</v>
      </c>
      <c r="C83" s="13">
        <f t="shared" si="1"/>
        <v>8636.363636363636</v>
      </c>
    </row>
    <row r="84" spans="1:3" ht="17.25" x14ac:dyDescent="0.3">
      <c r="A84" s="12" t="s">
        <v>89</v>
      </c>
      <c r="B84" s="20">
        <v>5500</v>
      </c>
      <c r="C84" s="13">
        <f t="shared" si="1"/>
        <v>5000</v>
      </c>
    </row>
    <row r="85" spans="1:3" ht="17.25" x14ac:dyDescent="0.3">
      <c r="A85" s="12" t="s">
        <v>235</v>
      </c>
      <c r="B85" s="20">
        <v>19800</v>
      </c>
      <c r="C85" s="13">
        <f t="shared" si="1"/>
        <v>18000</v>
      </c>
    </row>
    <row r="86" spans="1:3" ht="17.25" x14ac:dyDescent="0.3">
      <c r="A86" s="12" t="s">
        <v>116</v>
      </c>
      <c r="B86" s="20">
        <v>2250</v>
      </c>
      <c r="C86" s="13">
        <f t="shared" si="1"/>
        <v>2045.4545454545453</v>
      </c>
    </row>
    <row r="87" spans="1:3" ht="17.25" x14ac:dyDescent="0.3">
      <c r="A87" s="12" t="s">
        <v>236</v>
      </c>
      <c r="B87" s="20">
        <v>20900</v>
      </c>
      <c r="C87" s="13">
        <f t="shared" si="1"/>
        <v>19000</v>
      </c>
    </row>
    <row r="88" spans="1:3" ht="17.25" x14ac:dyDescent="0.3">
      <c r="A88" s="12" t="s">
        <v>179</v>
      </c>
      <c r="B88" s="20">
        <v>2350</v>
      </c>
      <c r="C88" s="13">
        <f t="shared" si="1"/>
        <v>2136.363636363636</v>
      </c>
    </row>
    <row r="89" spans="1:3" ht="17.25" x14ac:dyDescent="0.3">
      <c r="A89" s="12" t="s">
        <v>73</v>
      </c>
      <c r="B89" s="20">
        <v>8690</v>
      </c>
      <c r="C89" s="13">
        <f t="shared" si="1"/>
        <v>7899.9999999999991</v>
      </c>
    </row>
    <row r="90" spans="1:3" ht="17.25" x14ac:dyDescent="0.3">
      <c r="A90" s="12" t="s">
        <v>54</v>
      </c>
      <c r="B90" s="20">
        <v>8690</v>
      </c>
      <c r="C90" s="13">
        <f t="shared" si="1"/>
        <v>7899.9999999999991</v>
      </c>
    </row>
    <row r="91" spans="1:3" ht="17.25" x14ac:dyDescent="0.3">
      <c r="A91" s="12" t="s">
        <v>28</v>
      </c>
      <c r="B91" s="20">
        <v>8690</v>
      </c>
      <c r="C91" s="13">
        <f t="shared" si="1"/>
        <v>7899.9999999999991</v>
      </c>
    </row>
    <row r="92" spans="1:3" ht="17.25" x14ac:dyDescent="0.3">
      <c r="A92" s="12" t="s">
        <v>36</v>
      </c>
      <c r="B92" s="20">
        <v>8690</v>
      </c>
      <c r="C92" s="13">
        <f t="shared" si="1"/>
        <v>7899.9999999999991</v>
      </c>
    </row>
    <row r="93" spans="1:3" ht="17.25" x14ac:dyDescent="0.3">
      <c r="A93" s="12" t="s">
        <v>237</v>
      </c>
      <c r="B93" s="20">
        <v>35200</v>
      </c>
      <c r="C93" s="13">
        <f t="shared" si="1"/>
        <v>31999.999999999996</v>
      </c>
    </row>
    <row r="94" spans="1:3" ht="17.25" x14ac:dyDescent="0.3">
      <c r="A94" s="12" t="s">
        <v>168</v>
      </c>
      <c r="B94" s="20">
        <v>30800</v>
      </c>
      <c r="C94" s="13">
        <f t="shared" si="1"/>
        <v>27999.999999999996</v>
      </c>
    </row>
    <row r="95" spans="1:3" ht="17.25" x14ac:dyDescent="0.3">
      <c r="A95" s="12" t="s">
        <v>154</v>
      </c>
      <c r="B95" s="20">
        <v>3300</v>
      </c>
      <c r="C95" s="13">
        <f t="shared" si="1"/>
        <v>2999.9999999999995</v>
      </c>
    </row>
    <row r="96" spans="1:3" ht="17.25" x14ac:dyDescent="0.3">
      <c r="A96" s="12" t="s">
        <v>265</v>
      </c>
      <c r="B96" s="20">
        <v>3100</v>
      </c>
      <c r="C96" s="13">
        <f t="shared" si="1"/>
        <v>2818.181818181818</v>
      </c>
    </row>
    <row r="97" spans="1:3" ht="17.25" x14ac:dyDescent="0.3">
      <c r="A97" s="12" t="s">
        <v>162</v>
      </c>
      <c r="B97" s="20">
        <v>6950</v>
      </c>
      <c r="C97" s="13">
        <f t="shared" si="1"/>
        <v>6318.181818181818</v>
      </c>
    </row>
    <row r="98" spans="1:3" ht="17.25" x14ac:dyDescent="0.3">
      <c r="A98" s="12" t="s">
        <v>151</v>
      </c>
      <c r="B98" s="20">
        <v>800</v>
      </c>
      <c r="C98" s="13">
        <f t="shared" si="1"/>
        <v>727.27272727272725</v>
      </c>
    </row>
    <row r="99" spans="1:3" ht="17.25" x14ac:dyDescent="0.3">
      <c r="A99" s="12" t="s">
        <v>313</v>
      </c>
      <c r="B99" s="20">
        <v>800</v>
      </c>
      <c r="C99" s="13">
        <f t="shared" si="1"/>
        <v>727.27272727272725</v>
      </c>
    </row>
    <row r="100" spans="1:3" ht="17.25" x14ac:dyDescent="0.3">
      <c r="A100" s="16" t="s">
        <v>183</v>
      </c>
      <c r="B100" s="20">
        <v>19000</v>
      </c>
      <c r="C100" s="13">
        <f t="shared" si="1"/>
        <v>17272.727272727272</v>
      </c>
    </row>
    <row r="101" spans="1:3" ht="17.25" x14ac:dyDescent="0.3">
      <c r="A101" s="16" t="s">
        <v>129</v>
      </c>
      <c r="B101" s="20">
        <v>7920</v>
      </c>
      <c r="C101" s="13">
        <f t="shared" si="1"/>
        <v>7199.9999999999991</v>
      </c>
    </row>
    <row r="102" spans="1:3" ht="17.25" x14ac:dyDescent="0.3">
      <c r="A102" s="16" t="s">
        <v>83</v>
      </c>
      <c r="B102" s="20">
        <v>8400</v>
      </c>
      <c r="C102" s="13">
        <f t="shared" si="1"/>
        <v>7636.363636363636</v>
      </c>
    </row>
    <row r="103" spans="1:3" ht="17.25" x14ac:dyDescent="0.3">
      <c r="A103" s="16" t="s">
        <v>185</v>
      </c>
      <c r="B103" s="20">
        <v>11900</v>
      </c>
      <c r="C103" s="13">
        <f t="shared" si="1"/>
        <v>10818.181818181818</v>
      </c>
    </row>
    <row r="104" spans="1:3" ht="17.25" x14ac:dyDescent="0.3">
      <c r="A104" s="16" t="s">
        <v>182</v>
      </c>
      <c r="B104" s="20">
        <v>19580</v>
      </c>
      <c r="C104" s="13">
        <f t="shared" si="1"/>
        <v>17800</v>
      </c>
    </row>
    <row r="105" spans="1:3" ht="17.25" x14ac:dyDescent="0.3">
      <c r="A105" s="16" t="s">
        <v>238</v>
      </c>
      <c r="B105" s="20">
        <v>24970</v>
      </c>
      <c r="C105" s="13">
        <f t="shared" si="1"/>
        <v>22699.999999999996</v>
      </c>
    </row>
    <row r="106" spans="1:3" ht="17.25" x14ac:dyDescent="0.3">
      <c r="A106" s="16" t="s">
        <v>86</v>
      </c>
      <c r="B106" s="20">
        <v>16500</v>
      </c>
      <c r="C106" s="13">
        <f t="shared" si="1"/>
        <v>14999.999999999998</v>
      </c>
    </row>
    <row r="107" spans="1:3" ht="17.25" x14ac:dyDescent="0.3">
      <c r="A107" s="16" t="s">
        <v>173</v>
      </c>
      <c r="B107" s="20">
        <v>7900</v>
      </c>
      <c r="C107" s="13">
        <f t="shared" si="1"/>
        <v>7181.8181818181811</v>
      </c>
    </row>
    <row r="108" spans="1:3" ht="17.25" x14ac:dyDescent="0.3">
      <c r="A108" s="16" t="s">
        <v>264</v>
      </c>
      <c r="B108" s="20">
        <v>4900</v>
      </c>
      <c r="C108" s="13">
        <f t="shared" si="1"/>
        <v>4454.545454545454</v>
      </c>
    </row>
    <row r="109" spans="1:3" ht="17.25" x14ac:dyDescent="0.3">
      <c r="A109" s="16" t="s">
        <v>17</v>
      </c>
      <c r="B109" s="20"/>
      <c r="C109" s="13">
        <v>11700</v>
      </c>
    </row>
    <row r="110" spans="1:3" ht="17.25" x14ac:dyDescent="0.3">
      <c r="A110" s="16" t="s">
        <v>68</v>
      </c>
      <c r="B110" s="20"/>
      <c r="C110" s="13">
        <v>13400</v>
      </c>
    </row>
    <row r="111" spans="1:3" ht="17.25" x14ac:dyDescent="0.3">
      <c r="A111" s="16" t="s">
        <v>110</v>
      </c>
      <c r="B111" s="21"/>
      <c r="C111" s="13">
        <v>2500</v>
      </c>
    </row>
    <row r="112" spans="1:3" ht="17.25" x14ac:dyDescent="0.3">
      <c r="A112" s="16" t="s">
        <v>184</v>
      </c>
      <c r="B112" s="20">
        <v>7920</v>
      </c>
      <c r="C112" s="13">
        <f t="shared" si="1"/>
        <v>7199.9999999999991</v>
      </c>
    </row>
    <row r="113" spans="1:3" ht="17.25" x14ac:dyDescent="0.3">
      <c r="A113" s="16" t="s">
        <v>143</v>
      </c>
      <c r="B113" s="20">
        <v>17000</v>
      </c>
      <c r="C113" s="13">
        <f t="shared" si="1"/>
        <v>15454.545454545454</v>
      </c>
    </row>
    <row r="114" spans="1:3" ht="17.25" x14ac:dyDescent="0.3">
      <c r="A114" s="16" t="s">
        <v>187</v>
      </c>
      <c r="B114" s="20">
        <v>19900</v>
      </c>
      <c r="C114" s="13">
        <f t="shared" si="1"/>
        <v>18090.909090909088</v>
      </c>
    </row>
    <row r="115" spans="1:3" ht="17.25" x14ac:dyDescent="0.3">
      <c r="A115" s="16" t="s">
        <v>178</v>
      </c>
      <c r="B115" s="20">
        <v>9400</v>
      </c>
      <c r="C115" s="13">
        <f t="shared" si="1"/>
        <v>8545.4545454545441</v>
      </c>
    </row>
    <row r="116" spans="1:3" ht="17.25" x14ac:dyDescent="0.3">
      <c r="A116" s="16" t="s">
        <v>181</v>
      </c>
      <c r="B116" s="20">
        <v>9900</v>
      </c>
      <c r="C116" s="13">
        <f t="shared" si="1"/>
        <v>9000</v>
      </c>
    </row>
    <row r="117" spans="1:3" ht="17.25" x14ac:dyDescent="0.3">
      <c r="A117" s="16" t="s">
        <v>177</v>
      </c>
      <c r="B117" s="20">
        <v>11000</v>
      </c>
      <c r="C117" s="13">
        <f t="shared" si="1"/>
        <v>10000</v>
      </c>
    </row>
    <row r="128" spans="1:3" x14ac:dyDescent="0.3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2026-07-06T03:50:52Z</dcterms:modified>
</cp:coreProperties>
</file>